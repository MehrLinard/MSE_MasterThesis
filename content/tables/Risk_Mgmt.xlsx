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FH\MSE\MSE_MasterThesis\content\tables\"/>
    </mc:Choice>
  </mc:AlternateContent>
  <xr:revisionPtr revIDLastSave="0" documentId="13_ncr:1_{AA470192-3953-4FB2-9F3D-00253666FB71}" xr6:coauthVersionLast="47" xr6:coauthVersionMax="47" xr10:uidLastSave="{00000000-0000-0000-0000-000000000000}"/>
  <bookViews>
    <workbookView xWindow="-96" yWindow="-96" windowWidth="23232" windowHeight="13872" activeTab="3" xr2:uid="{C85C79CF-50DE-474C-BA2B-673335091AFF}"/>
  </bookViews>
  <sheets>
    <sheet name="Table with Risks and Measures" sheetId="5" r:id="rId1"/>
    <sheet name="Table with Risks_Projekt2" sheetId="13" r:id="rId2"/>
    <sheet name="Graphical Overview" sheetId="4" r:id="rId3"/>
    <sheet name="Graphical Overview (2)" sheetId="14" r:id="rId4"/>
    <sheet name="RiskEval" sheetId="6" r:id="rId5"/>
    <sheet name="RiskTreatment" sheetId="7" r:id="rId6"/>
    <sheet name="RiskWhatWhen" sheetId="8" r:id="rId7"/>
    <sheet name="CheckinOct" sheetId="12" r:id="rId8"/>
  </sheets>
  <definedNames>
    <definedName name="_xlnm._FilterDatabase" localSheetId="2" hidden="1">'Graphical Overview'!$J$1:$L$37</definedName>
    <definedName name="_xlnm._FilterDatabase" localSheetId="0" hidden="1">'Table with Risks and Measures'!$E$1:$E$33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4" l="1"/>
  <c r="R16" i="4" s="1"/>
  <c r="Q17" i="4"/>
  <c r="R17" i="4" s="1"/>
  <c r="Q18" i="4"/>
  <c r="R18" i="4" s="1"/>
  <c r="Q19" i="4"/>
  <c r="R19" i="4" s="1"/>
  <c r="Q20" i="4"/>
  <c r="R20" i="4" s="1"/>
  <c r="Q21" i="4"/>
  <c r="R21" i="4" s="1"/>
  <c r="Q22" i="4"/>
  <c r="R22" i="4" s="1"/>
  <c r="Q23" i="4"/>
  <c r="R23" i="4" s="1"/>
  <c r="Q24" i="4"/>
  <c r="R24" i="4" s="1"/>
  <c r="Q25" i="4"/>
  <c r="R25" i="4" s="1"/>
  <c r="Q26" i="4"/>
  <c r="R26" i="4" s="1"/>
  <c r="Q27" i="4"/>
  <c r="R27" i="4" s="1"/>
  <c r="Q28" i="4"/>
  <c r="R28" i="4" s="1"/>
  <c r="Q29" i="4"/>
  <c r="R29" i="4" s="1"/>
  <c r="Q30" i="4"/>
  <c r="R30" i="4" s="1"/>
  <c r="Q31" i="4"/>
  <c r="R31" i="4" s="1"/>
  <c r="Q32" i="4"/>
  <c r="R32" i="4" s="1"/>
  <c r="Q33" i="4"/>
  <c r="R33" i="4" s="1"/>
  <c r="Q34" i="4"/>
  <c r="R34" i="4" s="1"/>
  <c r="Q35" i="4"/>
  <c r="R35" i="4" s="1"/>
  <c r="Q36" i="4"/>
  <c r="R36" i="4" s="1"/>
  <c r="Q37" i="4"/>
  <c r="R37" i="4" s="1"/>
  <c r="Q15" i="4"/>
  <c r="R15" i="4" s="1"/>
  <c r="G21" i="13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4" i="5"/>
  <c r="G22" i="5"/>
  <c r="G21" i="5"/>
  <c r="G23" i="5"/>
  <c r="G7" i="5"/>
  <c r="G6" i="5"/>
  <c r="G3" i="5"/>
  <c r="G4" i="5"/>
  <c r="G5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" i="5"/>
</calcChain>
</file>

<file path=xl/sharedStrings.xml><?xml version="1.0" encoding="utf-8"?>
<sst xmlns="http://schemas.openxmlformats.org/spreadsheetml/2006/main" count="565" uniqueCount="185">
  <si>
    <t>Risk</t>
  </si>
  <si>
    <t>Insufficient expertise</t>
  </si>
  <si>
    <t>Risk Matrix</t>
  </si>
  <si>
    <t>Likelyhood</t>
  </si>
  <si>
    <t>Severity</t>
  </si>
  <si>
    <t>Almost Certain</t>
  </si>
  <si>
    <t>Likely</t>
  </si>
  <si>
    <t>Possible</t>
  </si>
  <si>
    <t>Unlikely</t>
  </si>
  <si>
    <t>Rare</t>
  </si>
  <si>
    <t>Insignificant</t>
  </si>
  <si>
    <t>Minor</t>
  </si>
  <si>
    <t>Moderate</t>
  </si>
  <si>
    <t>Major</t>
  </si>
  <si>
    <t>Severe</t>
  </si>
  <si>
    <t>Group</t>
  </si>
  <si>
    <t>Goal</t>
  </si>
  <si>
    <t>Undererstimated time/effort</t>
  </si>
  <si>
    <t>Some tasks take more time than initially expected</t>
  </si>
  <si>
    <t>Unclear question</t>
  </si>
  <si>
    <t>The topic description is to vague or contains to many goals</t>
  </si>
  <si>
    <t>Unclear goals</t>
  </si>
  <si>
    <t>The goals are not clearly defined or can not be measured</t>
  </si>
  <si>
    <t>Time and Organisation</t>
  </si>
  <si>
    <t>Procrastination</t>
  </si>
  <si>
    <t>Risk Description</t>
  </si>
  <si>
    <t>Tasks are pushed back</t>
  </si>
  <si>
    <t>Human Resources</t>
  </si>
  <si>
    <t>Unavailability of main project staff, e.g. due to illness</t>
  </si>
  <si>
    <t>One or multiple project staff are not available</t>
  </si>
  <si>
    <t>Unavailability of advisor, e.g. due to illness, accident etc.</t>
  </si>
  <si>
    <t>The advisor is not available</t>
  </si>
  <si>
    <t>Tech and Infrastructure</t>
  </si>
  <si>
    <t xml:space="preserve">Software Version/Library/Dependency </t>
  </si>
  <si>
    <t>Missmatch in Versions, new library versions break the code</t>
  </si>
  <si>
    <t>Hardware is damaged</t>
  </si>
  <si>
    <t>The Laptops or other material is damaged and needs repairs or replacement</t>
  </si>
  <si>
    <t>Data and research</t>
  </si>
  <si>
    <t>Data related</t>
  </si>
  <si>
    <t>Bias in data, not enough data</t>
  </si>
  <si>
    <t>Not reproducable work</t>
  </si>
  <si>
    <t>The work provided can not be reproduced</t>
  </si>
  <si>
    <t>Ethical and Legal</t>
  </si>
  <si>
    <t>Plagiarism or wrong citation</t>
  </si>
  <si>
    <t>Unallowed or undeclared usage of sources</t>
  </si>
  <si>
    <t xml:space="preserve">Copyright </t>
  </si>
  <si>
    <t>Used literature or materials which are restricted</t>
  </si>
  <si>
    <t>Communication and Cooperation</t>
  </si>
  <si>
    <t>Bad communication with stakeholder or advisor</t>
  </si>
  <si>
    <t>Advisor or stakeholders are not heared. Their inputs are ignored</t>
  </si>
  <si>
    <t>insufficient exchange with external partners</t>
  </si>
  <si>
    <t>External partners do not react, are delayed or communication towards them is late or poor</t>
  </si>
  <si>
    <t>Force Majeure</t>
  </si>
  <si>
    <t>Unforseen familiar crisis</t>
  </si>
  <si>
    <t>Unecpected crisis in family</t>
  </si>
  <si>
    <t>Number</t>
  </si>
  <si>
    <t>Likelyhood times Severity</t>
  </si>
  <si>
    <t>X</t>
  </si>
  <si>
    <t>Not knowing required tools or programming languages</t>
  </si>
  <si>
    <t xml:space="preserve">Accept </t>
  </si>
  <si>
    <t>Transfer</t>
  </si>
  <si>
    <t>Avoid</t>
  </si>
  <si>
    <t>Detail Action</t>
  </si>
  <si>
    <t>Start early</t>
  </si>
  <si>
    <t>Weekly Advisor Meetings</t>
  </si>
  <si>
    <t>Use Citation, Bibliography</t>
  </si>
  <si>
    <t>Document Steps, Upload Versions on Github</t>
  </si>
  <si>
    <t>Second Laptop, Code on Github/Miro/Teams/Outlook</t>
  </si>
  <si>
    <t>Advisor to define emergency replacement</t>
  </si>
  <si>
    <t>Document in case it hapens</t>
  </si>
  <si>
    <t>Document end of tasks in Miro Calendar, Reevaluate after project</t>
  </si>
  <si>
    <t>Define SMART goals</t>
  </si>
  <si>
    <t>Describe which goals are part of scope</t>
  </si>
  <si>
    <t>Run the code multiple times, have tetcases e.g. unittests</t>
  </si>
  <si>
    <t>Stakeholders in Scrum Team</t>
  </si>
  <si>
    <t>Other study projects</t>
  </si>
  <si>
    <t>Other classes demand more attention, less time for project</t>
  </si>
  <si>
    <t>Reduce</t>
  </si>
  <si>
    <t>Use minimum time for Projects/classes</t>
  </si>
  <si>
    <t>Work projects</t>
  </si>
  <si>
    <t>Other projects at work demand urgent attention, less time for project</t>
  </si>
  <si>
    <t>Reduction of risk due to starting early, defining blockers for study work</t>
  </si>
  <si>
    <t>To be documented in miro calendar case it happens</t>
  </si>
  <si>
    <t>4, 6, 10, 12</t>
  </si>
  <si>
    <t>Treatment</t>
  </si>
  <si>
    <t>Treatment Description</t>
  </si>
  <si>
    <t>Unavailability of main project staff</t>
  </si>
  <si>
    <t>Unavailability of advisor</t>
  </si>
  <si>
    <t>Document after risk occured</t>
  </si>
  <si>
    <t>When</t>
  </si>
  <si>
    <t>Strategy Decision What</t>
  </si>
  <si>
    <t>Accept : Nothing done</t>
  </si>
  <si>
    <t>Added blockers in Work calendar, Work Account invited to meeting Series (Jour Fixe), Study Account: Set Blockers on Weekend, Researched with ChatGPT for optimal or minimal study plan</t>
  </si>
  <si>
    <t>Work on he project started 25.09.2025, when attending data quality meeting at AWS, beeing part of AWS Modernisation initiative</t>
  </si>
  <si>
    <t>Contact of partner provided in teams, and added to Miro board</t>
  </si>
  <si>
    <t>Asked for Contact, Confirmed to be Jürgen Vogel</t>
  </si>
  <si>
    <t>23.10.205</t>
  </si>
  <si>
    <t>Second Laptop is available at home, The Latex document is a Github project, documentation is on miro. Work Laptop can also be used for most tasks, but has no Latex installed</t>
  </si>
  <si>
    <t>No preparation to be planned</t>
  </si>
  <si>
    <t>Document bigger Steps, Upload Versions on Github of document, in Miro use Kanban to document tasks</t>
  </si>
  <si>
    <t>Github project for Latex Document</t>
  </si>
  <si>
    <t>Jabref used as GUI for Biblliography, Biber used for build</t>
  </si>
  <si>
    <t>Declare sources in bibliography, in case of post sources only use public documents</t>
  </si>
  <si>
    <t>Weekly Advisor Meetings, Jour Fixe</t>
  </si>
  <si>
    <t>Jour Fixe Setup</t>
  </si>
  <si>
    <t>Keep exchange chanells also when changing team</t>
  </si>
  <si>
    <t>In the research section smart goals have been setup</t>
  </si>
  <si>
    <t>The introduction describes which parts of the initial project description are part of this document</t>
  </si>
  <si>
    <t>Why</t>
  </si>
  <si>
    <t>Measures taken</t>
  </si>
  <si>
    <t>Detail</t>
  </si>
  <si>
    <t>Occured, Yes/No</t>
  </si>
  <si>
    <t>No</t>
  </si>
  <si>
    <t>Yes</t>
  </si>
  <si>
    <t>Team Members, PO in team</t>
  </si>
  <si>
    <t>Measure date</t>
  </si>
  <si>
    <t>Events which can not be influenced are very rare and very disruptive</t>
  </si>
  <si>
    <t>General Force majeure</t>
  </si>
  <si>
    <t>General force majeure</t>
  </si>
  <si>
    <t>Unknown Process</t>
  </si>
  <si>
    <t>Latex usage to change document structure</t>
  </si>
  <si>
    <t>In December much more work on the project was possible, no incidents</t>
  </si>
  <si>
    <t>Full focus on new topics</t>
  </si>
  <si>
    <t>No time invested</t>
  </si>
  <si>
    <t>Focus on this project</t>
  </si>
  <si>
    <t>Some parts of the used bfh template had to be changed, some were changed due to amendments with tables etc. added and needed fixes</t>
  </si>
  <si>
    <t>used chatgpt for review and changes</t>
  </si>
  <si>
    <t>Now time to finish</t>
  </si>
  <si>
    <t>Finally after a lot of back and forth the invoice was handled trough sending it via post mail</t>
  </si>
  <si>
    <t>BFH could not sign the new Terms of Post</t>
  </si>
  <si>
    <t>Next invoice to be sent by mail directly</t>
  </si>
  <si>
    <t>Efforts for writing were not commitable before holiday</t>
  </si>
  <si>
    <t>Took to much time in relation to needed cool down times</t>
  </si>
  <si>
    <t>Moved writing partially to holiday</t>
  </si>
  <si>
    <t>Working hard during beach holiday</t>
  </si>
  <si>
    <t>Organisational</t>
  </si>
  <si>
    <t>Required resources are not available when needed, or responsibilities are unclear</t>
  </si>
  <si>
    <t>The required management process regarding contracts is not known, steps need to be found out</t>
  </si>
  <si>
    <t>Resources within team or outside team are not available</t>
  </si>
  <si>
    <t>Accepting sources need to be found first</t>
  </si>
  <si>
    <t>The Swiss Post defined new directions which affect the research</t>
  </si>
  <si>
    <t xml:space="preserve">Changes pushed by organisation </t>
  </si>
  <si>
    <t>Insufficient scientific contribution</t>
  </si>
  <si>
    <t>Learning is part of the journey but additional time is to planed</t>
  </si>
  <si>
    <t>Phases and Milestones are set up as progress checks</t>
  </si>
  <si>
    <t>Happened before start, Provide contact of partner working at BFH, Document in case it hapens</t>
  </si>
  <si>
    <t>Providing continous feedback and having weekly call are done to find missing contributions early</t>
  </si>
  <si>
    <t>Setup calls early, search external resources always before starting work blocks</t>
  </si>
  <si>
    <t>Reduce: Search external before doing your part</t>
  </si>
  <si>
    <t>Project 1 and 2 established much of the required steps</t>
  </si>
  <si>
    <t>Accept: As third project most steps are repeated</t>
  </si>
  <si>
    <t>Change is constant, discussion of teams required</t>
  </si>
  <si>
    <t>Accept: Exchange with teams</t>
  </si>
  <si>
    <t>4, 12</t>
  </si>
  <si>
    <t>6, 10</t>
  </si>
  <si>
    <t>Provide contact of partner working at BFH, Document in case it hapens</t>
  </si>
  <si>
    <t>Risk is accepted, learning is wanted effect</t>
  </si>
  <si>
    <t>Checkup Action or OK</t>
  </si>
  <si>
    <t>Checkup When</t>
  </si>
  <si>
    <t>Project 1 and 2 established much of the required steps, however it is still likely that something new can pop up</t>
  </si>
  <si>
    <t>Reduce: Still important to handle them as soon as they apear</t>
  </si>
  <si>
    <t>13, 15, 19, 23</t>
  </si>
  <si>
    <t>14, 18</t>
  </si>
  <si>
    <t>5, 9</t>
  </si>
  <si>
    <t>21, 22</t>
  </si>
  <si>
    <t>3, 20</t>
  </si>
  <si>
    <t>This research does not add sufficient scientific value</t>
  </si>
  <si>
    <t>The resopnsible parties need to be found first</t>
  </si>
  <si>
    <t>The required management process is unknown</t>
  </si>
  <si>
    <t>Reduce: In the research section smart goals have been setup</t>
  </si>
  <si>
    <t>Reduce: The introduction describes which parts of the initial project description are part of this document</t>
  </si>
  <si>
    <t>Reduce: Phases and Milestones are set up as progress checks</t>
  </si>
  <si>
    <t>Reduce: Discussed availability with other team, added blockers in work calendar, work account invited to meeting Series (Jour Fixe), study Account: Set blockers on weekend, researched with ChatGPT for optimal or minimal study plan</t>
  </si>
  <si>
    <t>Reduce: Work on he project started 14.09.2026, first meeting with expert in same week</t>
  </si>
  <si>
    <t>Reduce: Contact of partner provided in teams, and added to Miro board</t>
  </si>
  <si>
    <t>Transfer: Asked for contact, confirmed to be Jürgen Vogel</t>
  </si>
  <si>
    <t>Second Laptop is available at home, The Latex document is a Github project, documentation is on miro. Work laptop can also be used for most tasks, but has no Latex installed</t>
  </si>
  <si>
    <t>Reduce: Github project for Latex document</t>
  </si>
  <si>
    <t>Reduce: Jabref used as GUI for biblliography, Biber used for build</t>
  </si>
  <si>
    <t>Reduce: Jour fixe setup</t>
  </si>
  <si>
    <t>Reduce: Keep exchange chanells also when changing team</t>
  </si>
  <si>
    <t>Reduce: Part of Jour fixe</t>
  </si>
  <si>
    <t>2, 7</t>
  </si>
  <si>
    <t>11, 14</t>
  </si>
  <si>
    <t>15, 17, 19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</si>
</sst>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0" fillId="5" borderId="0" xfId="0" applyFill="1"/>
    <xf numFmtId="0" fontId="0" fillId="5" borderId="1" xfId="0" applyFill="1" applyBorder="1"/>
    <xf numFmtId="0" fontId="3" fillId="5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14" fontId="0" fillId="3" borderId="0" xfId="0" applyNumberFormat="1" applyFill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  <xf numFmtId="0" fontId="0" fillId="5" borderId="2" xfId="0" applyFill="1" applyBorder="1"/>
    <xf numFmtId="0" fontId="0" fillId="3" borderId="2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9" borderId="1" xfId="0" applyFill="1" applyBorder="1"/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/>
    <xf numFmtId="14" fontId="0" fillId="9" borderId="1" xfId="0" applyNumberFormat="1" applyFill="1" applyBorder="1"/>
    <xf numFmtId="0" fontId="0" fillId="0" borderId="1" xfId="0" applyBorder="1"/>
    <xf numFmtId="0" fontId="0" fillId="2" borderId="0" xfId="0" applyFill="1"/>
    <xf numFmtId="0" fontId="2" fillId="4" borderId="0" xfId="0" applyFont="1" applyFill="1" applyAlignment="1">
      <alignment horizontal="center" textRotation="90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11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E7B3-DC9E-49CA-A001-535C01F14776}">
  <dimension ref="A1:N33"/>
  <sheetViews>
    <sheetView zoomScale="58" zoomScaleNormal="80" workbookViewId="0">
      <selection activeCell="L20" sqref="L20"/>
    </sheetView>
  </sheetViews>
  <sheetFormatPr baseColWidth="10" defaultColWidth="10.89453125" defaultRowHeight="14.4" x14ac:dyDescent="0.55000000000000004"/>
  <cols>
    <col min="1" max="1" width="10.89453125" style="3"/>
    <col min="2" max="2" width="26.7890625" style="6" bestFit="1" customWidth="1"/>
    <col min="3" max="3" width="50.20703125" style="6" customWidth="1"/>
    <col min="4" max="4" width="25.5234375" style="6" hidden="1" customWidth="1"/>
    <col min="5" max="5" width="9.1015625" style="6" hidden="1" customWidth="1"/>
    <col min="6" max="6" width="6.734375" style="6" hidden="1" customWidth="1"/>
    <col min="7" max="7" width="20.26171875" style="6" hidden="1" customWidth="1"/>
    <col min="8" max="11" width="10.89453125" style="6"/>
    <col min="12" max="12" width="86" style="6" bestFit="1" customWidth="1"/>
    <col min="13" max="13" width="146.3671875" style="6" bestFit="1" customWidth="1"/>
    <col min="14" max="14" width="9.734375" style="6" bestFit="1" customWidth="1"/>
    <col min="15" max="16384" width="10.89453125" style="6"/>
  </cols>
  <sheetData>
    <row r="1" spans="1:14" ht="23.7" x14ac:dyDescent="0.55000000000000004">
      <c r="A1" s="3" t="s">
        <v>55</v>
      </c>
      <c r="B1" s="3" t="s">
        <v>15</v>
      </c>
      <c r="C1" s="4" t="s">
        <v>0</v>
      </c>
      <c r="D1" s="3" t="s">
        <v>25</v>
      </c>
      <c r="E1" s="3" t="s">
        <v>3</v>
      </c>
      <c r="F1" s="3" t="s">
        <v>4</v>
      </c>
      <c r="G1" s="3" t="s">
        <v>56</v>
      </c>
      <c r="H1" s="3" t="s">
        <v>59</v>
      </c>
      <c r="I1" s="3" t="s">
        <v>77</v>
      </c>
      <c r="J1" s="3" t="s">
        <v>60</v>
      </c>
      <c r="K1" s="3" t="s">
        <v>61</v>
      </c>
      <c r="L1" s="3" t="s">
        <v>62</v>
      </c>
      <c r="M1" s="3" t="s">
        <v>90</v>
      </c>
      <c r="N1" s="3" t="s">
        <v>89</v>
      </c>
    </row>
    <row r="2" spans="1:14" ht="28.8" x14ac:dyDescent="0.55000000000000004">
      <c r="A2" s="3">
        <v>1</v>
      </c>
      <c r="B2" s="3" t="s">
        <v>16</v>
      </c>
      <c r="C2" s="5" t="s">
        <v>19</v>
      </c>
      <c r="D2" s="5" t="s">
        <v>20</v>
      </c>
      <c r="E2" s="5">
        <v>2</v>
      </c>
      <c r="F2" s="6">
        <v>2</v>
      </c>
      <c r="G2" s="6">
        <f>E2*F2</f>
        <v>4</v>
      </c>
      <c r="I2" s="6" t="s">
        <v>57</v>
      </c>
      <c r="L2" s="6" t="s">
        <v>71</v>
      </c>
      <c r="M2" s="6" t="s">
        <v>169</v>
      </c>
      <c r="N2" s="8">
        <v>46319</v>
      </c>
    </row>
    <row r="3" spans="1:14" ht="28.8" x14ac:dyDescent="0.55000000000000004">
      <c r="A3" s="3">
        <v>2</v>
      </c>
      <c r="B3" s="3" t="s">
        <v>16</v>
      </c>
      <c r="C3" s="5" t="s">
        <v>21</v>
      </c>
      <c r="D3" s="5" t="s">
        <v>22</v>
      </c>
      <c r="E3" s="5">
        <v>2</v>
      </c>
      <c r="F3" s="6">
        <v>3</v>
      </c>
      <c r="G3" s="6">
        <f t="shared" ref="G3:G23" si="0">E3*F3</f>
        <v>6</v>
      </c>
      <c r="I3" s="6" t="s">
        <v>57</v>
      </c>
      <c r="L3" s="6" t="s">
        <v>72</v>
      </c>
      <c r="M3" s="6" t="s">
        <v>170</v>
      </c>
      <c r="N3" s="8">
        <v>46319</v>
      </c>
    </row>
    <row r="4" spans="1:14" ht="28.8" x14ac:dyDescent="0.55000000000000004">
      <c r="A4" s="3">
        <v>3</v>
      </c>
      <c r="B4" s="3" t="s">
        <v>23</v>
      </c>
      <c r="C4" s="5" t="s">
        <v>1</v>
      </c>
      <c r="D4" s="5" t="s">
        <v>58</v>
      </c>
      <c r="E4" s="5">
        <v>4</v>
      </c>
      <c r="F4" s="6">
        <v>2</v>
      </c>
      <c r="G4" s="6">
        <f t="shared" si="0"/>
        <v>8</v>
      </c>
      <c r="H4" s="6" t="s">
        <v>57</v>
      </c>
      <c r="L4" s="6" t="s">
        <v>143</v>
      </c>
      <c r="M4" s="6" t="s">
        <v>91</v>
      </c>
      <c r="N4" s="8">
        <v>46319</v>
      </c>
    </row>
    <row r="5" spans="1:14" s="20" customFormat="1" ht="28.8" x14ac:dyDescent="0.55000000000000004">
      <c r="A5" s="20">
        <v>4</v>
      </c>
      <c r="B5" s="20" t="s">
        <v>23</v>
      </c>
      <c r="C5" s="21" t="s">
        <v>17</v>
      </c>
      <c r="D5" s="21" t="s">
        <v>18</v>
      </c>
      <c r="E5" s="21">
        <v>4</v>
      </c>
      <c r="F5" s="20">
        <v>4</v>
      </c>
      <c r="G5" s="20">
        <f t="shared" si="0"/>
        <v>16</v>
      </c>
      <c r="I5" s="20" t="s">
        <v>57</v>
      </c>
      <c r="L5" s="20" t="s">
        <v>144</v>
      </c>
      <c r="M5" s="20" t="s">
        <v>171</v>
      </c>
      <c r="N5" s="24">
        <v>46319</v>
      </c>
    </row>
    <row r="6" spans="1:14" ht="28.8" x14ac:dyDescent="0.55000000000000004">
      <c r="A6" s="3">
        <v>5</v>
      </c>
      <c r="B6" s="3" t="s">
        <v>23</v>
      </c>
      <c r="C6" s="5" t="s">
        <v>75</v>
      </c>
      <c r="D6" s="5" t="s">
        <v>76</v>
      </c>
      <c r="E6" s="5">
        <v>3</v>
      </c>
      <c r="F6" s="6">
        <v>3</v>
      </c>
      <c r="G6" s="6">
        <f t="shared" si="0"/>
        <v>9</v>
      </c>
      <c r="H6" s="6" t="s">
        <v>57</v>
      </c>
      <c r="L6" s="6" t="s">
        <v>78</v>
      </c>
      <c r="M6" s="6" t="s">
        <v>91</v>
      </c>
      <c r="N6" s="8">
        <v>46319</v>
      </c>
    </row>
    <row r="7" spans="1:14" ht="43.2" x14ac:dyDescent="0.55000000000000004">
      <c r="A7" s="3">
        <v>6</v>
      </c>
      <c r="B7" s="3" t="s">
        <v>23</v>
      </c>
      <c r="C7" s="5" t="s">
        <v>79</v>
      </c>
      <c r="D7" s="5" t="s">
        <v>80</v>
      </c>
      <c r="E7" s="5">
        <v>4</v>
      </c>
      <c r="F7" s="6">
        <v>3</v>
      </c>
      <c r="G7" s="6">
        <f t="shared" si="0"/>
        <v>12</v>
      </c>
      <c r="I7" s="6" t="s">
        <v>57</v>
      </c>
      <c r="L7" s="6" t="s">
        <v>81</v>
      </c>
      <c r="M7" s="6" t="s">
        <v>172</v>
      </c>
      <c r="N7" s="8">
        <v>46319</v>
      </c>
    </row>
    <row r="8" spans="1:14" x14ac:dyDescent="0.55000000000000004">
      <c r="A8" s="3">
        <v>7</v>
      </c>
      <c r="B8" s="3" t="s">
        <v>23</v>
      </c>
      <c r="C8" s="5" t="s">
        <v>24</v>
      </c>
      <c r="D8" s="5" t="s">
        <v>26</v>
      </c>
      <c r="E8" s="5">
        <v>3</v>
      </c>
      <c r="F8" s="6">
        <v>2</v>
      </c>
      <c r="G8" s="6">
        <f t="shared" si="0"/>
        <v>6</v>
      </c>
      <c r="I8" s="6" t="s">
        <v>57</v>
      </c>
      <c r="L8" s="6" t="s">
        <v>63</v>
      </c>
      <c r="M8" s="6" t="s">
        <v>173</v>
      </c>
      <c r="N8" s="8">
        <v>46319</v>
      </c>
    </row>
    <row r="9" spans="1:14" s="20" customFormat="1" ht="28.8" x14ac:dyDescent="0.55000000000000004">
      <c r="A9" s="20">
        <v>8</v>
      </c>
      <c r="B9" s="20" t="s">
        <v>27</v>
      </c>
      <c r="C9" s="21" t="s">
        <v>28</v>
      </c>
      <c r="D9" s="21" t="s">
        <v>29</v>
      </c>
      <c r="E9" s="21">
        <v>5</v>
      </c>
      <c r="F9" s="20">
        <v>4</v>
      </c>
      <c r="G9" s="20">
        <f t="shared" si="0"/>
        <v>20</v>
      </c>
      <c r="I9" s="20" t="s">
        <v>57</v>
      </c>
      <c r="L9" s="20" t="s">
        <v>145</v>
      </c>
      <c r="M9" s="20" t="s">
        <v>174</v>
      </c>
      <c r="N9" s="24">
        <v>46319</v>
      </c>
    </row>
    <row r="10" spans="1:14" s="20" customFormat="1" x14ac:dyDescent="0.55000000000000004">
      <c r="A10" s="20">
        <v>9</v>
      </c>
      <c r="B10" s="20" t="s">
        <v>27</v>
      </c>
      <c r="C10" s="21" t="s">
        <v>30</v>
      </c>
      <c r="D10" s="21" t="s">
        <v>31</v>
      </c>
      <c r="E10" s="22">
        <v>3</v>
      </c>
      <c r="F10" s="23">
        <v>3</v>
      </c>
      <c r="G10" s="23">
        <f t="shared" si="0"/>
        <v>9</v>
      </c>
      <c r="J10" s="20" t="s">
        <v>57</v>
      </c>
      <c r="L10" s="20" t="s">
        <v>68</v>
      </c>
      <c r="M10" s="20" t="s">
        <v>175</v>
      </c>
      <c r="N10" s="24">
        <v>46319</v>
      </c>
    </row>
    <row r="11" spans="1:14" ht="28.8" x14ac:dyDescent="0.55000000000000004">
      <c r="A11" s="3">
        <v>10</v>
      </c>
      <c r="B11" s="3" t="s">
        <v>32</v>
      </c>
      <c r="C11" s="5" t="s">
        <v>33</v>
      </c>
      <c r="D11" s="5" t="s">
        <v>34</v>
      </c>
      <c r="E11" s="5">
        <v>4</v>
      </c>
      <c r="F11" s="6">
        <v>3</v>
      </c>
      <c r="G11" s="6">
        <f t="shared" si="0"/>
        <v>12</v>
      </c>
      <c r="H11" s="6" t="s">
        <v>57</v>
      </c>
      <c r="L11" s="6" t="s">
        <v>73</v>
      </c>
      <c r="M11" s="6" t="s">
        <v>91</v>
      </c>
      <c r="N11" s="8">
        <v>46319</v>
      </c>
    </row>
    <row r="12" spans="1:14" s="20" customFormat="1" ht="43.2" x14ac:dyDescent="0.55000000000000004">
      <c r="A12" s="20">
        <v>11</v>
      </c>
      <c r="B12" s="20" t="s">
        <v>32</v>
      </c>
      <c r="C12" s="21" t="s">
        <v>35</v>
      </c>
      <c r="D12" s="21" t="s">
        <v>36</v>
      </c>
      <c r="E12" s="21">
        <v>2</v>
      </c>
      <c r="F12" s="20">
        <v>4</v>
      </c>
      <c r="G12" s="20">
        <f t="shared" si="0"/>
        <v>8</v>
      </c>
      <c r="I12" s="20" t="s">
        <v>57</v>
      </c>
      <c r="L12" s="20" t="s">
        <v>67</v>
      </c>
      <c r="M12" s="20" t="s">
        <v>176</v>
      </c>
      <c r="N12" s="24">
        <v>46319</v>
      </c>
    </row>
    <row r="13" spans="1:14" s="20" customFormat="1" x14ac:dyDescent="0.55000000000000004">
      <c r="A13" s="20">
        <v>12</v>
      </c>
      <c r="B13" s="20" t="s">
        <v>37</v>
      </c>
      <c r="C13" s="21" t="s">
        <v>38</v>
      </c>
      <c r="D13" s="21" t="s">
        <v>39</v>
      </c>
      <c r="E13" s="21">
        <v>4</v>
      </c>
      <c r="F13" s="20">
        <v>4</v>
      </c>
      <c r="G13" s="20">
        <f t="shared" si="0"/>
        <v>16</v>
      </c>
      <c r="H13" s="20" t="s">
        <v>57</v>
      </c>
      <c r="L13" s="20" t="s">
        <v>98</v>
      </c>
      <c r="M13" s="20" t="s">
        <v>91</v>
      </c>
      <c r="N13" s="24">
        <v>46319</v>
      </c>
    </row>
    <row r="14" spans="1:14" s="20" customFormat="1" ht="28.8" x14ac:dyDescent="0.55000000000000004">
      <c r="A14" s="20">
        <v>13</v>
      </c>
      <c r="B14" s="20" t="s">
        <v>37</v>
      </c>
      <c r="C14" s="21" t="s">
        <v>40</v>
      </c>
      <c r="D14" s="21" t="s">
        <v>41</v>
      </c>
      <c r="E14" s="22">
        <v>1</v>
      </c>
      <c r="F14" s="23">
        <v>5</v>
      </c>
      <c r="G14" s="23">
        <f t="shared" si="0"/>
        <v>5</v>
      </c>
      <c r="I14" s="20" t="s">
        <v>57</v>
      </c>
      <c r="L14" s="20" t="s">
        <v>99</v>
      </c>
      <c r="M14" s="20" t="s">
        <v>177</v>
      </c>
      <c r="N14" s="24">
        <v>46319</v>
      </c>
    </row>
    <row r="15" spans="1:14" ht="28.8" x14ac:dyDescent="0.55000000000000004">
      <c r="A15" s="3">
        <v>14</v>
      </c>
      <c r="B15" s="3" t="s">
        <v>42</v>
      </c>
      <c r="C15" s="5" t="s">
        <v>43</v>
      </c>
      <c r="D15" s="5" t="s">
        <v>44</v>
      </c>
      <c r="E15" s="5">
        <v>2</v>
      </c>
      <c r="F15" s="6">
        <v>5</v>
      </c>
      <c r="G15" s="6">
        <f t="shared" si="0"/>
        <v>10</v>
      </c>
      <c r="I15" s="6" t="s">
        <v>57</v>
      </c>
      <c r="L15" s="6" t="s">
        <v>65</v>
      </c>
      <c r="M15" s="6" t="s">
        <v>178</v>
      </c>
      <c r="N15" s="8">
        <v>46319</v>
      </c>
    </row>
    <row r="16" spans="1:14" ht="28.8" x14ac:dyDescent="0.55000000000000004">
      <c r="A16" s="3">
        <v>15</v>
      </c>
      <c r="B16" s="3" t="s">
        <v>42</v>
      </c>
      <c r="C16" s="5" t="s">
        <v>45</v>
      </c>
      <c r="D16" s="5" t="s">
        <v>46</v>
      </c>
      <c r="E16" s="5">
        <v>1</v>
      </c>
      <c r="F16" s="6">
        <v>5</v>
      </c>
      <c r="G16" s="6">
        <f t="shared" si="0"/>
        <v>5</v>
      </c>
      <c r="H16" s="6" t="s">
        <v>57</v>
      </c>
      <c r="L16" s="6" t="s">
        <v>102</v>
      </c>
      <c r="M16" s="6" t="s">
        <v>91</v>
      </c>
      <c r="N16" s="8">
        <v>46319</v>
      </c>
    </row>
    <row r="17" spans="1:14" s="20" customFormat="1" ht="28.8" x14ac:dyDescent="0.55000000000000004">
      <c r="A17" s="20">
        <v>16</v>
      </c>
      <c r="B17" s="20" t="s">
        <v>47</v>
      </c>
      <c r="C17" s="21" t="s">
        <v>48</v>
      </c>
      <c r="D17" s="21" t="s">
        <v>49</v>
      </c>
      <c r="E17" s="22">
        <v>1</v>
      </c>
      <c r="F17" s="23">
        <v>4</v>
      </c>
      <c r="G17" s="23">
        <f t="shared" si="0"/>
        <v>4</v>
      </c>
      <c r="I17" s="20" t="s">
        <v>57</v>
      </c>
      <c r="L17" s="20" t="s">
        <v>103</v>
      </c>
      <c r="M17" s="20" t="s">
        <v>179</v>
      </c>
      <c r="N17" s="24">
        <v>46319</v>
      </c>
    </row>
    <row r="18" spans="1:14" s="20" customFormat="1" ht="43.2" x14ac:dyDescent="0.55000000000000004">
      <c r="A18" s="20">
        <v>17</v>
      </c>
      <c r="B18" s="20" t="s">
        <v>47</v>
      </c>
      <c r="C18" s="21" t="s">
        <v>50</v>
      </c>
      <c r="D18" s="21" t="s">
        <v>51</v>
      </c>
      <c r="E18" s="21">
        <v>3</v>
      </c>
      <c r="F18" s="20">
        <v>5</v>
      </c>
      <c r="G18" s="20">
        <f t="shared" si="0"/>
        <v>15</v>
      </c>
      <c r="I18" s="20" t="s">
        <v>57</v>
      </c>
      <c r="L18" s="20" t="s">
        <v>74</v>
      </c>
      <c r="M18" s="20" t="s">
        <v>180</v>
      </c>
      <c r="N18" s="24">
        <v>46319</v>
      </c>
    </row>
    <row r="19" spans="1:14" x14ac:dyDescent="0.55000000000000004">
      <c r="A19" s="3">
        <v>18</v>
      </c>
      <c r="B19" s="3" t="s">
        <v>52</v>
      </c>
      <c r="C19" s="5" t="s">
        <v>53</v>
      </c>
      <c r="D19" s="5" t="s">
        <v>54</v>
      </c>
      <c r="E19" s="5">
        <v>2</v>
      </c>
      <c r="F19" s="6">
        <v>5</v>
      </c>
      <c r="G19" s="6">
        <f t="shared" si="0"/>
        <v>10</v>
      </c>
      <c r="H19" s="6" t="s">
        <v>57</v>
      </c>
      <c r="L19" s="6" t="s">
        <v>82</v>
      </c>
      <c r="M19" s="6" t="s">
        <v>91</v>
      </c>
      <c r="N19" s="8">
        <v>46319</v>
      </c>
    </row>
    <row r="20" spans="1:14" ht="43.2" x14ac:dyDescent="0.55000000000000004">
      <c r="A20" s="3">
        <v>19</v>
      </c>
      <c r="B20" s="3" t="s">
        <v>52</v>
      </c>
      <c r="C20" s="5" t="s">
        <v>118</v>
      </c>
      <c r="D20" s="5" t="s">
        <v>116</v>
      </c>
      <c r="E20" s="5">
        <v>1</v>
      </c>
      <c r="F20" s="6">
        <v>5</v>
      </c>
      <c r="G20" s="6">
        <f t="shared" si="0"/>
        <v>5</v>
      </c>
      <c r="H20" s="6" t="s">
        <v>57</v>
      </c>
      <c r="L20" s="6" t="s">
        <v>82</v>
      </c>
      <c r="M20" s="6" t="s">
        <v>91</v>
      </c>
      <c r="N20" s="8">
        <v>46319</v>
      </c>
    </row>
    <row r="21" spans="1:14" ht="28.8" x14ac:dyDescent="0.55000000000000004">
      <c r="A21" s="3">
        <v>20</v>
      </c>
      <c r="B21" s="3" t="s">
        <v>119</v>
      </c>
      <c r="C21" s="5" t="s">
        <v>168</v>
      </c>
      <c r="D21" s="5" t="s">
        <v>167</v>
      </c>
      <c r="E21" s="22">
        <v>4</v>
      </c>
      <c r="F21" s="23">
        <v>2</v>
      </c>
      <c r="G21" s="23">
        <f>E21*F21</f>
        <v>8</v>
      </c>
      <c r="I21" s="6" t="s">
        <v>57</v>
      </c>
      <c r="L21" s="6" t="s">
        <v>159</v>
      </c>
      <c r="M21" s="6" t="s">
        <v>160</v>
      </c>
      <c r="N21" s="8">
        <v>46319</v>
      </c>
    </row>
    <row r="22" spans="1:14" ht="28.8" x14ac:dyDescent="0.55000000000000004">
      <c r="A22" s="3">
        <v>21</v>
      </c>
      <c r="B22" s="3" t="s">
        <v>47</v>
      </c>
      <c r="C22" s="5" t="s">
        <v>136</v>
      </c>
      <c r="D22" s="5" t="s">
        <v>138</v>
      </c>
      <c r="E22" s="5">
        <v>3</v>
      </c>
      <c r="F22" s="6">
        <v>4</v>
      </c>
      <c r="G22" s="6">
        <f>E22*F22</f>
        <v>12</v>
      </c>
      <c r="I22" s="6" t="s">
        <v>57</v>
      </c>
      <c r="L22" s="6" t="s">
        <v>147</v>
      </c>
      <c r="M22" s="6" t="s">
        <v>148</v>
      </c>
      <c r="N22" s="8">
        <v>46319</v>
      </c>
    </row>
    <row r="23" spans="1:14" ht="43.2" x14ac:dyDescent="0.55000000000000004">
      <c r="A23" s="3">
        <v>22</v>
      </c>
      <c r="B23" s="3" t="s">
        <v>135</v>
      </c>
      <c r="C23" s="5" t="s">
        <v>141</v>
      </c>
      <c r="D23" s="5" t="s">
        <v>140</v>
      </c>
      <c r="E23" s="5">
        <v>3</v>
      </c>
      <c r="F23" s="6">
        <v>4</v>
      </c>
      <c r="G23" s="6">
        <f t="shared" si="0"/>
        <v>12</v>
      </c>
      <c r="H23" s="6" t="s">
        <v>57</v>
      </c>
      <c r="L23" s="6" t="s">
        <v>151</v>
      </c>
      <c r="M23" s="6" t="s">
        <v>152</v>
      </c>
      <c r="N23" s="8">
        <v>46319</v>
      </c>
    </row>
    <row r="24" spans="1:14" ht="28.8" x14ac:dyDescent="0.55000000000000004">
      <c r="A24" s="3">
        <v>23</v>
      </c>
      <c r="B24" s="3" t="s">
        <v>37</v>
      </c>
      <c r="C24" s="5" t="s">
        <v>142</v>
      </c>
      <c r="D24" s="5" t="s">
        <v>166</v>
      </c>
      <c r="E24" s="5">
        <v>1</v>
      </c>
      <c r="F24" s="6">
        <v>5</v>
      </c>
      <c r="G24" s="6">
        <f>E24*F24</f>
        <v>5</v>
      </c>
      <c r="I24" s="6" t="s">
        <v>57</v>
      </c>
      <c r="L24" s="6" t="s">
        <v>146</v>
      </c>
      <c r="M24" s="6" t="s">
        <v>181</v>
      </c>
      <c r="N24" s="8">
        <v>46319</v>
      </c>
    </row>
    <row r="25" spans="1:14" x14ac:dyDescent="0.55000000000000004">
      <c r="B25" s="3"/>
      <c r="C25" s="5"/>
      <c r="D25" s="5"/>
      <c r="E25" s="5"/>
      <c r="N25" s="8"/>
    </row>
    <row r="26" spans="1:14" x14ac:dyDescent="0.55000000000000004">
      <c r="B26" s="3"/>
      <c r="C26" s="5"/>
      <c r="D26" s="5"/>
      <c r="E26" s="5"/>
      <c r="N26" s="8"/>
    </row>
    <row r="27" spans="1:14" x14ac:dyDescent="0.55000000000000004">
      <c r="B27" s="3"/>
      <c r="C27" s="25"/>
      <c r="D27" s="5"/>
      <c r="E27" s="5"/>
      <c r="N27" s="8"/>
    </row>
    <row r="28" spans="1:14" x14ac:dyDescent="0.55000000000000004">
      <c r="B28" s="3"/>
      <c r="C28" s="25"/>
      <c r="D28" s="5"/>
      <c r="E28" s="5"/>
      <c r="N28" s="8"/>
    </row>
    <row r="29" spans="1:14" x14ac:dyDescent="0.55000000000000004">
      <c r="C29" s="25"/>
    </row>
    <row r="30" spans="1:14" x14ac:dyDescent="0.55000000000000004">
      <c r="C30" s="25"/>
    </row>
    <row r="31" spans="1:14" x14ac:dyDescent="0.55000000000000004">
      <c r="C31" s="25"/>
    </row>
    <row r="32" spans="1:14" x14ac:dyDescent="0.55000000000000004">
      <c r="C32" s="25"/>
    </row>
    <row r="33" spans="3:3" x14ac:dyDescent="0.55000000000000004">
      <c r="C33" s="25"/>
    </row>
  </sheetData>
  <autoFilter ref="E1:E33" xr:uid="{01ACE7B3-DC9E-49CA-A001-535C01F14776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A70C-6FBC-4F85-BBC7-0384E51FABE2}">
  <dimension ref="A1:AM21"/>
  <sheetViews>
    <sheetView zoomScale="80" zoomScaleNormal="80" workbookViewId="0">
      <selection activeCell="F1" activeCellId="2" sqref="A1:A1048576 E1:E1048576 F1:F1048576"/>
    </sheetView>
  </sheetViews>
  <sheetFormatPr baseColWidth="10" defaultColWidth="10.89453125" defaultRowHeight="14.4" x14ac:dyDescent="0.55000000000000004"/>
  <cols>
    <col min="1" max="1" width="10.89453125" style="2"/>
    <col min="2" max="2" width="18.1015625" style="1" bestFit="1" customWidth="1"/>
    <col min="3" max="3" width="52.5234375" style="1" bestFit="1" customWidth="1"/>
    <col min="4" max="4" width="25.5234375" style="1" bestFit="1" customWidth="1"/>
    <col min="5" max="5" width="9.1015625" style="1" bestFit="1" customWidth="1"/>
    <col min="6" max="6" width="6.734375" style="1" bestFit="1" customWidth="1"/>
    <col min="7" max="7" width="20.26171875" style="1" bestFit="1" customWidth="1"/>
    <col min="8" max="20" width="10.89453125" style="1"/>
    <col min="21" max="21" width="51.47265625" style="1" bestFit="1" customWidth="1"/>
    <col min="22" max="22" width="14.15625" style="1" bestFit="1" customWidth="1"/>
    <col min="23" max="16384" width="10.89453125" style="1"/>
  </cols>
  <sheetData>
    <row r="1" spans="1:25" ht="23.7" x14ac:dyDescent="0.55000000000000004">
      <c r="A1" s="3" t="s">
        <v>55</v>
      </c>
      <c r="B1" s="3" t="s">
        <v>15</v>
      </c>
      <c r="C1" s="4" t="s">
        <v>0</v>
      </c>
      <c r="D1" s="3" t="s">
        <v>25</v>
      </c>
      <c r="E1" s="3" t="s">
        <v>3</v>
      </c>
      <c r="F1" s="3" t="s">
        <v>4</v>
      </c>
      <c r="G1" s="3" t="s">
        <v>56</v>
      </c>
      <c r="H1" s="1" t="s">
        <v>59</v>
      </c>
      <c r="I1" s="1" t="s">
        <v>77</v>
      </c>
      <c r="J1" s="1" t="s">
        <v>60</v>
      </c>
      <c r="K1" s="1" t="s">
        <v>61</v>
      </c>
      <c r="U1" s="1" t="s">
        <v>62</v>
      </c>
      <c r="V1" s="1" t="s">
        <v>90</v>
      </c>
      <c r="W1" s="1" t="s">
        <v>89</v>
      </c>
      <c r="X1" s="1" t="s">
        <v>158</v>
      </c>
      <c r="Y1" s="1" t="s">
        <v>157</v>
      </c>
    </row>
    <row r="2" spans="1:25" ht="28.8" x14ac:dyDescent="0.55000000000000004">
      <c r="A2" s="3">
        <v>1</v>
      </c>
      <c r="B2" s="3" t="s">
        <v>16</v>
      </c>
      <c r="C2" s="5" t="s">
        <v>19</v>
      </c>
      <c r="D2" s="5" t="s">
        <v>20</v>
      </c>
      <c r="E2" s="5">
        <v>2</v>
      </c>
      <c r="F2" s="6">
        <v>2</v>
      </c>
      <c r="G2" s="6">
        <f>E2*F2</f>
        <v>4</v>
      </c>
      <c r="I2" s="1" t="s">
        <v>57</v>
      </c>
      <c r="U2" s="1" t="s">
        <v>71</v>
      </c>
      <c r="V2" s="1" t="s">
        <v>106</v>
      </c>
      <c r="W2" s="7">
        <v>72981</v>
      </c>
    </row>
    <row r="3" spans="1:25" ht="28.8" x14ac:dyDescent="0.55000000000000004">
      <c r="A3" s="3">
        <v>2</v>
      </c>
      <c r="B3" s="3" t="s">
        <v>16</v>
      </c>
      <c r="C3" s="5" t="s">
        <v>21</v>
      </c>
      <c r="D3" s="5" t="s">
        <v>22</v>
      </c>
      <c r="E3" s="5">
        <v>2</v>
      </c>
      <c r="F3" s="6">
        <v>3</v>
      </c>
      <c r="G3" s="6">
        <f>E3*F3</f>
        <v>6</v>
      </c>
      <c r="I3" s="1" t="s">
        <v>57</v>
      </c>
      <c r="U3" s="1" t="s">
        <v>72</v>
      </c>
      <c r="V3" s="1" t="s">
        <v>107</v>
      </c>
    </row>
    <row r="4" spans="1:25" ht="28.8" x14ac:dyDescent="0.55000000000000004">
      <c r="A4" s="3">
        <v>3</v>
      </c>
      <c r="B4" s="3" t="s">
        <v>23</v>
      </c>
      <c r="C4" s="5" t="s">
        <v>1</v>
      </c>
      <c r="D4" s="5" t="s">
        <v>58</v>
      </c>
      <c r="E4" s="5">
        <v>4</v>
      </c>
      <c r="F4" s="6">
        <v>2</v>
      </c>
      <c r="G4" s="6">
        <f>E4*F4</f>
        <v>8</v>
      </c>
      <c r="H4" s="1" t="s">
        <v>57</v>
      </c>
      <c r="U4" s="1" t="s">
        <v>156</v>
      </c>
      <c r="V4" s="1" t="s">
        <v>91</v>
      </c>
      <c r="W4" s="7">
        <v>45953</v>
      </c>
    </row>
    <row r="5" spans="1:25" ht="28.8" x14ac:dyDescent="0.55000000000000004">
      <c r="A5" s="3">
        <v>4</v>
      </c>
      <c r="B5" s="3" t="s">
        <v>23</v>
      </c>
      <c r="C5" s="5" t="s">
        <v>17</v>
      </c>
      <c r="D5" s="5" t="s">
        <v>18</v>
      </c>
      <c r="E5" s="5">
        <v>4</v>
      </c>
      <c r="F5" s="6">
        <v>3</v>
      </c>
      <c r="G5" s="6">
        <f>E5*F5</f>
        <v>12</v>
      </c>
      <c r="H5" s="1" t="s">
        <v>57</v>
      </c>
      <c r="U5" s="1" t="s">
        <v>70</v>
      </c>
      <c r="V5" s="1" t="s">
        <v>91</v>
      </c>
      <c r="W5" s="7">
        <v>45953</v>
      </c>
    </row>
    <row r="6" spans="1:25" ht="28.8" x14ac:dyDescent="0.55000000000000004">
      <c r="A6" s="3">
        <v>5</v>
      </c>
      <c r="B6" s="3" t="s">
        <v>23</v>
      </c>
      <c r="C6" s="5" t="s">
        <v>75</v>
      </c>
      <c r="D6" s="5" t="s">
        <v>76</v>
      </c>
      <c r="E6" s="5">
        <v>3</v>
      </c>
      <c r="F6" s="6">
        <v>3</v>
      </c>
      <c r="G6" s="6">
        <f>E6*F6</f>
        <v>9</v>
      </c>
      <c r="H6" s="1" t="s">
        <v>57</v>
      </c>
      <c r="U6" s="1" t="s">
        <v>78</v>
      </c>
      <c r="V6" s="1" t="s">
        <v>91</v>
      </c>
      <c r="W6" s="7">
        <v>45953</v>
      </c>
    </row>
    <row r="7" spans="1:25" ht="43.2" x14ac:dyDescent="0.55000000000000004">
      <c r="A7" s="3">
        <v>6</v>
      </c>
      <c r="B7" s="3" t="s">
        <v>23</v>
      </c>
      <c r="C7" s="5" t="s">
        <v>79</v>
      </c>
      <c r="D7" s="5" t="s">
        <v>80</v>
      </c>
      <c r="E7" s="5">
        <v>4</v>
      </c>
      <c r="F7" s="6">
        <v>3</v>
      </c>
      <c r="G7" s="6">
        <f>E7*F7</f>
        <v>12</v>
      </c>
      <c r="I7" s="1" t="s">
        <v>57</v>
      </c>
      <c r="U7" s="1" t="s">
        <v>81</v>
      </c>
      <c r="V7" s="1" t="s">
        <v>92</v>
      </c>
      <c r="W7" s="7">
        <v>45940</v>
      </c>
    </row>
    <row r="8" spans="1:25" x14ac:dyDescent="0.55000000000000004">
      <c r="A8" s="3">
        <v>7</v>
      </c>
      <c r="B8" s="3" t="s">
        <v>23</v>
      </c>
      <c r="C8" s="5" t="s">
        <v>24</v>
      </c>
      <c r="D8" s="5" t="s">
        <v>26</v>
      </c>
      <c r="E8" s="5">
        <v>3</v>
      </c>
      <c r="F8" s="6">
        <v>2</v>
      </c>
      <c r="G8" s="6">
        <f>E8*F8</f>
        <v>6</v>
      </c>
      <c r="I8" s="1" t="s">
        <v>57</v>
      </c>
      <c r="U8" s="1" t="s">
        <v>63</v>
      </c>
      <c r="V8" s="1" t="s">
        <v>93</v>
      </c>
      <c r="W8" s="7">
        <v>45947</v>
      </c>
    </row>
    <row r="9" spans="1:25" ht="28.8" x14ac:dyDescent="0.55000000000000004">
      <c r="A9" s="3">
        <v>8</v>
      </c>
      <c r="B9" s="3" t="s">
        <v>27</v>
      </c>
      <c r="C9" s="5" t="s">
        <v>28</v>
      </c>
      <c r="D9" s="5" t="s">
        <v>29</v>
      </c>
      <c r="E9" s="5">
        <v>4</v>
      </c>
      <c r="F9" s="6">
        <v>4</v>
      </c>
      <c r="G9" s="6">
        <f>E9*F9</f>
        <v>16</v>
      </c>
      <c r="I9" s="1" t="s">
        <v>57</v>
      </c>
      <c r="U9" s="1" t="s">
        <v>155</v>
      </c>
      <c r="V9" s="1" t="s">
        <v>94</v>
      </c>
      <c r="W9" s="7">
        <v>45953</v>
      </c>
    </row>
    <row r="10" spans="1:25" x14ac:dyDescent="0.55000000000000004">
      <c r="A10" s="3">
        <v>9</v>
      </c>
      <c r="B10" s="3" t="s">
        <v>27</v>
      </c>
      <c r="C10" s="5" t="s">
        <v>30</v>
      </c>
      <c r="D10" s="5" t="s">
        <v>31</v>
      </c>
      <c r="E10" s="5">
        <v>3</v>
      </c>
      <c r="F10" s="6">
        <v>4</v>
      </c>
      <c r="G10" s="6">
        <f>E10*F10</f>
        <v>12</v>
      </c>
      <c r="J10" s="1" t="s">
        <v>57</v>
      </c>
      <c r="U10" s="1" t="s">
        <v>68</v>
      </c>
      <c r="V10" s="1" t="s">
        <v>95</v>
      </c>
      <c r="W10" s="7">
        <v>45953</v>
      </c>
    </row>
    <row r="11" spans="1:25" ht="28.8" x14ac:dyDescent="0.55000000000000004">
      <c r="A11" s="3">
        <v>10</v>
      </c>
      <c r="B11" s="3" t="s">
        <v>32</v>
      </c>
      <c r="C11" s="5" t="s">
        <v>33</v>
      </c>
      <c r="D11" s="5" t="s">
        <v>34</v>
      </c>
      <c r="E11" s="5">
        <v>4</v>
      </c>
      <c r="F11" s="6">
        <v>3</v>
      </c>
      <c r="G11" s="6">
        <f>E11*F11</f>
        <v>12</v>
      </c>
      <c r="H11" s="1" t="s">
        <v>57</v>
      </c>
      <c r="U11" s="1" t="s">
        <v>73</v>
      </c>
      <c r="V11" s="1" t="s">
        <v>91</v>
      </c>
      <c r="W11" s="7">
        <v>45953</v>
      </c>
    </row>
    <row r="12" spans="1:25" ht="43.2" x14ac:dyDescent="0.55000000000000004">
      <c r="A12" s="3">
        <v>11</v>
      </c>
      <c r="B12" s="3" t="s">
        <v>32</v>
      </c>
      <c r="C12" s="5" t="s">
        <v>35</v>
      </c>
      <c r="D12" s="5" t="s">
        <v>36</v>
      </c>
      <c r="E12" s="5">
        <v>2</v>
      </c>
      <c r="F12" s="6">
        <v>5</v>
      </c>
      <c r="G12" s="6">
        <f>E12*F12</f>
        <v>10</v>
      </c>
      <c r="I12" s="1" t="s">
        <v>57</v>
      </c>
      <c r="U12" s="1" t="s">
        <v>67</v>
      </c>
      <c r="V12" s="1" t="s">
        <v>97</v>
      </c>
      <c r="W12" s="1" t="s">
        <v>96</v>
      </c>
    </row>
    <row r="13" spans="1:25" x14ac:dyDescent="0.55000000000000004">
      <c r="A13" s="3">
        <v>12</v>
      </c>
      <c r="B13" s="3" t="s">
        <v>37</v>
      </c>
      <c r="C13" s="5" t="s">
        <v>38</v>
      </c>
      <c r="D13" s="5" t="s">
        <v>39</v>
      </c>
      <c r="E13" s="5">
        <v>4</v>
      </c>
      <c r="F13" s="6">
        <v>3</v>
      </c>
      <c r="G13" s="6">
        <f>E13*F13</f>
        <v>12</v>
      </c>
      <c r="H13" s="1" t="s">
        <v>57</v>
      </c>
      <c r="U13" s="1" t="s">
        <v>98</v>
      </c>
      <c r="V13" s="1" t="s">
        <v>91</v>
      </c>
      <c r="W13" s="7">
        <v>45953</v>
      </c>
    </row>
    <row r="14" spans="1:25" ht="28.8" x14ac:dyDescent="0.55000000000000004">
      <c r="A14" s="3">
        <v>13</v>
      </c>
      <c r="B14" s="3" t="s">
        <v>37</v>
      </c>
      <c r="C14" s="5" t="s">
        <v>40</v>
      </c>
      <c r="D14" s="5" t="s">
        <v>41</v>
      </c>
      <c r="E14" s="5">
        <v>2</v>
      </c>
      <c r="F14" s="6">
        <v>5</v>
      </c>
      <c r="G14" s="6">
        <f>E14*F14</f>
        <v>10</v>
      </c>
      <c r="I14" s="1" t="s">
        <v>57</v>
      </c>
      <c r="U14" s="1" t="s">
        <v>99</v>
      </c>
      <c r="V14" s="1" t="s">
        <v>100</v>
      </c>
      <c r="W14" s="7">
        <v>45940</v>
      </c>
    </row>
    <row r="15" spans="1:25" ht="28.8" x14ac:dyDescent="0.55000000000000004">
      <c r="A15" s="3">
        <v>14</v>
      </c>
      <c r="B15" s="3" t="s">
        <v>42</v>
      </c>
      <c r="C15" s="5" t="s">
        <v>43</v>
      </c>
      <c r="D15" s="5" t="s">
        <v>44</v>
      </c>
      <c r="E15" s="5">
        <v>2</v>
      </c>
      <c r="F15" s="6">
        <v>5</v>
      </c>
      <c r="G15" s="6">
        <f>E15*F15</f>
        <v>10</v>
      </c>
      <c r="I15" s="1" t="s">
        <v>57</v>
      </c>
      <c r="U15" s="1" t="s">
        <v>65</v>
      </c>
      <c r="V15" s="1" t="s">
        <v>101</v>
      </c>
      <c r="W15" s="7">
        <v>45947</v>
      </c>
    </row>
    <row r="16" spans="1:25" ht="28.8" x14ac:dyDescent="0.55000000000000004">
      <c r="A16" s="3">
        <v>15</v>
      </c>
      <c r="B16" s="3" t="s">
        <v>42</v>
      </c>
      <c r="C16" s="5" t="s">
        <v>45</v>
      </c>
      <c r="D16" s="5" t="s">
        <v>46</v>
      </c>
      <c r="E16" s="5">
        <v>1</v>
      </c>
      <c r="F16" s="6">
        <v>5</v>
      </c>
      <c r="G16" s="6">
        <f>E16*F16</f>
        <v>5</v>
      </c>
      <c r="H16" s="1" t="s">
        <v>57</v>
      </c>
      <c r="U16" s="1" t="s">
        <v>102</v>
      </c>
      <c r="V16" s="1" t="s">
        <v>91</v>
      </c>
      <c r="W16" s="7">
        <v>45940</v>
      </c>
    </row>
    <row r="17" spans="1:39" ht="28.8" x14ac:dyDescent="0.55000000000000004">
      <c r="A17" s="3">
        <v>16</v>
      </c>
      <c r="B17" s="3" t="s">
        <v>47</v>
      </c>
      <c r="C17" s="5" t="s">
        <v>48</v>
      </c>
      <c r="D17" s="5" t="s">
        <v>49</v>
      </c>
      <c r="E17" s="5">
        <v>2</v>
      </c>
      <c r="F17" s="6">
        <v>4</v>
      </c>
      <c r="G17" s="6">
        <f>E17*F17</f>
        <v>8</v>
      </c>
      <c r="I17" s="1" t="s">
        <v>57</v>
      </c>
      <c r="U17" s="1" t="s">
        <v>103</v>
      </c>
      <c r="V17" s="1" t="s">
        <v>104</v>
      </c>
      <c r="W17" s="7">
        <v>45926</v>
      </c>
    </row>
    <row r="18" spans="1:39" ht="43.2" x14ac:dyDescent="0.55000000000000004">
      <c r="A18" s="3">
        <v>17</v>
      </c>
      <c r="B18" s="3" t="s">
        <v>47</v>
      </c>
      <c r="C18" s="5" t="s">
        <v>50</v>
      </c>
      <c r="D18" s="5" t="s">
        <v>51</v>
      </c>
      <c r="E18" s="5">
        <v>1</v>
      </c>
      <c r="F18" s="6">
        <v>5</v>
      </c>
      <c r="G18" s="6">
        <f>E18*F18</f>
        <v>5</v>
      </c>
      <c r="I18" s="1" t="s">
        <v>57</v>
      </c>
      <c r="U18" s="1" t="s">
        <v>74</v>
      </c>
      <c r="V18" s="1" t="s">
        <v>105</v>
      </c>
      <c r="W18" s="7">
        <v>45926</v>
      </c>
    </row>
    <row r="19" spans="1:39" x14ac:dyDescent="0.55000000000000004">
      <c r="A19" s="3">
        <v>18</v>
      </c>
      <c r="B19" s="3" t="s">
        <v>52</v>
      </c>
      <c r="C19" s="5" t="s">
        <v>53</v>
      </c>
      <c r="D19" s="5" t="s">
        <v>54</v>
      </c>
      <c r="E19" s="5">
        <v>2</v>
      </c>
      <c r="F19" s="6">
        <v>5</v>
      </c>
      <c r="G19" s="6">
        <f>E19*F19</f>
        <v>10</v>
      </c>
      <c r="H19" s="1" t="s">
        <v>57</v>
      </c>
      <c r="U19" s="1" t="s">
        <v>82</v>
      </c>
      <c r="V19" s="1" t="s">
        <v>91</v>
      </c>
      <c r="W19" s="7">
        <v>45953</v>
      </c>
    </row>
    <row r="20" spans="1:39" ht="43.2" x14ac:dyDescent="0.55000000000000004">
      <c r="A20" s="3">
        <v>19</v>
      </c>
      <c r="B20" s="3" t="s">
        <v>52</v>
      </c>
      <c r="C20" s="5" t="s">
        <v>118</v>
      </c>
      <c r="D20" s="5" t="s">
        <v>116</v>
      </c>
      <c r="E20" s="5">
        <v>1</v>
      </c>
      <c r="F20" s="6">
        <v>5</v>
      </c>
      <c r="G20" s="6">
        <f>E20*F20</f>
        <v>5</v>
      </c>
      <c r="H20" s="1" t="s">
        <v>57</v>
      </c>
      <c r="U20" s="1" t="s">
        <v>82</v>
      </c>
      <c r="V20" s="1" t="s">
        <v>91</v>
      </c>
      <c r="W20" s="7">
        <v>45953</v>
      </c>
    </row>
    <row r="21" spans="1:39" ht="28.8" x14ac:dyDescent="0.55000000000000004">
      <c r="A21" s="3">
        <v>20</v>
      </c>
      <c r="B21" s="3" t="s">
        <v>119</v>
      </c>
      <c r="C21" s="5" t="s">
        <v>137</v>
      </c>
      <c r="D21" s="5" t="s">
        <v>139</v>
      </c>
      <c r="E21" s="5">
        <v>5</v>
      </c>
      <c r="F21" s="6">
        <v>3</v>
      </c>
      <c r="G21" s="6">
        <f>E21*F21</f>
        <v>15</v>
      </c>
      <c r="I21" s="1" t="s">
        <v>57</v>
      </c>
      <c r="AK21" s="1" t="s">
        <v>149</v>
      </c>
      <c r="AL21" s="1" t="s">
        <v>150</v>
      </c>
      <c r="AM21" s="7">
        <v>46319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AE2C-2824-4C08-B947-28E1493E0DC2}">
  <dimension ref="B1:R37"/>
  <sheetViews>
    <sheetView zoomScale="106" workbookViewId="0">
      <selection activeCell="D7" sqref="D7"/>
    </sheetView>
  </sheetViews>
  <sheetFormatPr baseColWidth="10" defaultRowHeight="14.4" x14ac:dyDescent="0.55000000000000004"/>
  <cols>
    <col min="3" max="3" width="12.15625" bestFit="1" customWidth="1"/>
    <col min="10" max="10" width="10.89453125" style="2"/>
    <col min="11" max="11" width="9.1015625" style="1" bestFit="1" customWidth="1"/>
    <col min="12" max="12" width="6.734375" style="1" bestFit="1" customWidth="1"/>
    <col min="13" max="13" width="20.26171875" style="1" bestFit="1" customWidth="1"/>
    <col min="14" max="14" width="10.89453125" style="2"/>
    <col min="15" max="15" width="9.1015625" style="1" bestFit="1" customWidth="1"/>
    <col min="16" max="16" width="6.734375" style="1" bestFit="1" customWidth="1"/>
  </cols>
  <sheetData>
    <row r="1" spans="2:18" x14ac:dyDescent="0.55000000000000004">
      <c r="N1" s="3"/>
      <c r="O1" s="3"/>
      <c r="P1" s="3"/>
    </row>
    <row r="2" spans="2:18" x14ac:dyDescent="0.55000000000000004">
      <c r="B2" s="19" t="s">
        <v>3</v>
      </c>
      <c r="C2" s="13" t="s">
        <v>2</v>
      </c>
      <c r="D2" s="18" t="s">
        <v>4</v>
      </c>
      <c r="E2" s="18"/>
      <c r="F2" s="18"/>
      <c r="G2" s="18"/>
      <c r="H2" s="18"/>
      <c r="N2" s="3"/>
      <c r="O2" s="5"/>
      <c r="P2" s="6"/>
    </row>
    <row r="3" spans="2:18" x14ac:dyDescent="0.55000000000000004">
      <c r="B3" s="19"/>
      <c r="C3" s="13"/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N3" s="3"/>
      <c r="O3" s="5"/>
      <c r="P3" s="6"/>
    </row>
    <row r="4" spans="2:18" ht="14.4" customHeight="1" x14ac:dyDescent="0.55000000000000004">
      <c r="B4" s="19"/>
      <c r="C4" s="3" t="s">
        <v>5</v>
      </c>
      <c r="D4" s="14"/>
      <c r="E4" s="15"/>
      <c r="F4" s="16"/>
      <c r="G4" s="16">
        <v>8</v>
      </c>
      <c r="H4" s="16"/>
      <c r="N4" s="3"/>
      <c r="O4" s="5"/>
      <c r="P4" s="6"/>
    </row>
    <row r="5" spans="2:18" x14ac:dyDescent="0.55000000000000004">
      <c r="B5" s="19"/>
      <c r="C5" s="3" t="s">
        <v>6</v>
      </c>
      <c r="D5" s="14"/>
      <c r="E5" s="15" t="s">
        <v>165</v>
      </c>
      <c r="F5" s="15" t="s">
        <v>154</v>
      </c>
      <c r="G5" s="16" t="s">
        <v>153</v>
      </c>
      <c r="H5" s="16"/>
      <c r="N5" s="3"/>
      <c r="O5" s="5"/>
      <c r="P5" s="6"/>
    </row>
    <row r="6" spans="2:18" x14ac:dyDescent="0.55000000000000004">
      <c r="B6" s="19"/>
      <c r="C6" s="3" t="s">
        <v>7</v>
      </c>
      <c r="D6" s="17"/>
      <c r="E6" s="14">
        <v>7</v>
      </c>
      <c r="F6" s="15" t="s">
        <v>163</v>
      </c>
      <c r="G6" s="15" t="s">
        <v>164</v>
      </c>
      <c r="H6" s="16">
        <v>17</v>
      </c>
      <c r="N6" s="3"/>
      <c r="O6" s="5"/>
      <c r="P6" s="6"/>
    </row>
    <row r="7" spans="2:18" x14ac:dyDescent="0.55000000000000004">
      <c r="B7" s="19"/>
      <c r="C7" s="3" t="s">
        <v>8</v>
      </c>
      <c r="D7" s="17"/>
      <c r="E7" s="17">
        <v>1</v>
      </c>
      <c r="F7" s="14">
        <v>2</v>
      </c>
      <c r="G7" s="14">
        <v>11</v>
      </c>
      <c r="H7" s="15" t="s">
        <v>162</v>
      </c>
      <c r="N7" s="3"/>
      <c r="O7" s="5"/>
      <c r="P7" s="6"/>
    </row>
    <row r="8" spans="2:18" x14ac:dyDescent="0.55000000000000004">
      <c r="B8" s="19"/>
      <c r="C8" s="3" t="s">
        <v>9</v>
      </c>
      <c r="D8" s="30"/>
      <c r="E8" s="17"/>
      <c r="F8" s="17"/>
      <c r="G8" s="17">
        <v>16</v>
      </c>
      <c r="H8" s="14" t="s">
        <v>161</v>
      </c>
      <c r="N8" s="3"/>
      <c r="O8" s="5"/>
      <c r="P8" s="6"/>
    </row>
    <row r="9" spans="2:18" x14ac:dyDescent="0.55000000000000004">
      <c r="N9" s="3"/>
      <c r="O9" s="5"/>
      <c r="P9" s="6"/>
    </row>
    <row r="10" spans="2:18" x14ac:dyDescent="0.55000000000000004">
      <c r="N10" s="3"/>
      <c r="O10" s="5"/>
      <c r="P10" s="6"/>
    </row>
    <row r="11" spans="2:18" x14ac:dyDescent="0.55000000000000004">
      <c r="N11" s="3"/>
      <c r="O11" s="5"/>
      <c r="P11" s="6"/>
    </row>
    <row r="12" spans="2:18" x14ac:dyDescent="0.55000000000000004">
      <c r="N12" s="3"/>
      <c r="O12" s="5"/>
      <c r="P12" s="6"/>
    </row>
    <row r="13" spans="2:18" x14ac:dyDescent="0.55000000000000004">
      <c r="N13" s="3"/>
      <c r="O13" s="5"/>
      <c r="P13" s="6"/>
    </row>
    <row r="14" spans="2:18" x14ac:dyDescent="0.55000000000000004">
      <c r="J14" s="3" t="s">
        <v>55</v>
      </c>
      <c r="K14" s="3" t="s">
        <v>3</v>
      </c>
      <c r="L14" s="3" t="s">
        <v>4</v>
      </c>
      <c r="M14" s="3" t="s">
        <v>56</v>
      </c>
      <c r="N14" s="3" t="s">
        <v>55</v>
      </c>
      <c r="O14" s="3" t="s">
        <v>3</v>
      </c>
      <c r="P14" s="3" t="s">
        <v>4</v>
      </c>
    </row>
    <row r="15" spans="2:18" x14ac:dyDescent="0.55000000000000004">
      <c r="J15" s="3">
        <v>1</v>
      </c>
      <c r="K15" s="5">
        <v>2</v>
      </c>
      <c r="L15" s="6">
        <v>2</v>
      </c>
      <c r="M15" s="6">
        <v>4</v>
      </c>
      <c r="N15" s="3">
        <v>1</v>
      </c>
      <c r="O15" s="5">
        <v>2</v>
      </c>
      <c r="P15" s="6">
        <v>2</v>
      </c>
      <c r="Q15">
        <f>P15*O15</f>
        <v>4</v>
      </c>
      <c r="R15" t="str">
        <f>IF(M15=Q15,"Gleich","Nicht Gleich")</f>
        <v>Gleich</v>
      </c>
    </row>
    <row r="16" spans="2:18" x14ac:dyDescent="0.55000000000000004">
      <c r="J16" s="3">
        <v>2</v>
      </c>
      <c r="K16" s="5">
        <v>2</v>
      </c>
      <c r="L16" s="6">
        <v>3</v>
      </c>
      <c r="M16" s="6">
        <v>6</v>
      </c>
      <c r="N16" s="3">
        <v>2</v>
      </c>
      <c r="O16" s="5">
        <v>2</v>
      </c>
      <c r="P16" s="6">
        <v>3</v>
      </c>
      <c r="Q16">
        <f t="shared" ref="Q16:Q37" si="0">P16*O16</f>
        <v>6</v>
      </c>
      <c r="R16" t="str">
        <f t="shared" ref="R16:R37" si="1">IF(M16=Q16,"Gleich","Nicht Gleich")</f>
        <v>Gleich</v>
      </c>
    </row>
    <row r="17" spans="10:18" x14ac:dyDescent="0.55000000000000004">
      <c r="J17" s="3">
        <v>3</v>
      </c>
      <c r="K17" s="5">
        <v>4</v>
      </c>
      <c r="L17" s="6">
        <v>2</v>
      </c>
      <c r="M17" s="6">
        <v>8</v>
      </c>
      <c r="N17" s="3">
        <v>3</v>
      </c>
      <c r="O17" s="5">
        <v>4</v>
      </c>
      <c r="P17" s="6">
        <v>2</v>
      </c>
      <c r="Q17">
        <f t="shared" si="0"/>
        <v>8</v>
      </c>
      <c r="R17" t="str">
        <f t="shared" si="1"/>
        <v>Gleich</v>
      </c>
    </row>
    <row r="18" spans="10:18" x14ac:dyDescent="0.55000000000000004">
      <c r="J18" s="20">
        <v>4</v>
      </c>
      <c r="K18" s="21">
        <v>4</v>
      </c>
      <c r="L18" s="20">
        <v>4</v>
      </c>
      <c r="M18" s="20">
        <v>16</v>
      </c>
      <c r="N18" s="3">
        <v>4</v>
      </c>
      <c r="O18" s="5">
        <v>4</v>
      </c>
      <c r="P18" s="6">
        <v>3</v>
      </c>
      <c r="Q18">
        <f t="shared" si="0"/>
        <v>12</v>
      </c>
      <c r="R18" t="str">
        <f t="shared" si="1"/>
        <v>Nicht Gleich</v>
      </c>
    </row>
    <row r="19" spans="10:18" x14ac:dyDescent="0.55000000000000004">
      <c r="J19" s="3">
        <v>5</v>
      </c>
      <c r="K19" s="5">
        <v>3</v>
      </c>
      <c r="L19" s="6">
        <v>3</v>
      </c>
      <c r="M19" s="6">
        <v>9</v>
      </c>
      <c r="N19" s="3">
        <v>5</v>
      </c>
      <c r="O19" s="5">
        <v>3</v>
      </c>
      <c r="P19" s="6">
        <v>3</v>
      </c>
      <c r="Q19">
        <f t="shared" si="0"/>
        <v>9</v>
      </c>
      <c r="R19" t="str">
        <f t="shared" si="1"/>
        <v>Gleich</v>
      </c>
    </row>
    <row r="20" spans="10:18" x14ac:dyDescent="0.55000000000000004">
      <c r="J20" s="3">
        <v>6</v>
      </c>
      <c r="K20" s="5">
        <v>4</v>
      </c>
      <c r="L20" s="6">
        <v>3</v>
      </c>
      <c r="M20" s="6">
        <v>12</v>
      </c>
      <c r="N20" s="3">
        <v>6</v>
      </c>
      <c r="O20" s="5">
        <v>4</v>
      </c>
      <c r="P20" s="6">
        <v>3</v>
      </c>
      <c r="Q20">
        <f t="shared" si="0"/>
        <v>12</v>
      </c>
      <c r="R20" t="str">
        <f t="shared" si="1"/>
        <v>Gleich</v>
      </c>
    </row>
    <row r="21" spans="10:18" x14ac:dyDescent="0.55000000000000004">
      <c r="J21" s="3">
        <v>7</v>
      </c>
      <c r="K21" s="5">
        <v>3</v>
      </c>
      <c r="L21" s="6">
        <v>2</v>
      </c>
      <c r="M21" s="6">
        <v>6</v>
      </c>
      <c r="N21" s="3">
        <v>7</v>
      </c>
      <c r="O21" s="5">
        <v>3</v>
      </c>
      <c r="P21" s="6">
        <v>2</v>
      </c>
      <c r="Q21">
        <f t="shared" si="0"/>
        <v>6</v>
      </c>
      <c r="R21" t="str">
        <f t="shared" si="1"/>
        <v>Gleich</v>
      </c>
    </row>
    <row r="22" spans="10:18" x14ac:dyDescent="0.55000000000000004">
      <c r="J22" s="20">
        <v>8</v>
      </c>
      <c r="K22" s="21">
        <v>5</v>
      </c>
      <c r="L22" s="20">
        <v>4</v>
      </c>
      <c r="M22" s="20">
        <v>20</v>
      </c>
      <c r="N22" s="3">
        <v>8</v>
      </c>
      <c r="O22" s="5">
        <v>4</v>
      </c>
      <c r="P22" s="6">
        <v>4</v>
      </c>
      <c r="Q22">
        <f t="shared" si="0"/>
        <v>16</v>
      </c>
      <c r="R22" t="str">
        <f t="shared" si="1"/>
        <v>Nicht Gleich</v>
      </c>
    </row>
    <row r="23" spans="10:18" x14ac:dyDescent="0.55000000000000004">
      <c r="J23" s="20">
        <v>9</v>
      </c>
      <c r="K23" s="22">
        <v>3</v>
      </c>
      <c r="L23" s="23">
        <v>3</v>
      </c>
      <c r="M23" s="23">
        <v>9</v>
      </c>
      <c r="N23" s="3">
        <v>9</v>
      </c>
      <c r="O23" s="5">
        <v>3</v>
      </c>
      <c r="P23" s="6">
        <v>4</v>
      </c>
      <c r="Q23">
        <f t="shared" si="0"/>
        <v>12</v>
      </c>
      <c r="R23" t="str">
        <f t="shared" si="1"/>
        <v>Nicht Gleich</v>
      </c>
    </row>
    <row r="24" spans="10:18" x14ac:dyDescent="0.55000000000000004">
      <c r="J24" s="3">
        <v>10</v>
      </c>
      <c r="K24" s="5">
        <v>4</v>
      </c>
      <c r="L24" s="6">
        <v>3</v>
      </c>
      <c r="M24" s="6">
        <v>12</v>
      </c>
      <c r="N24" s="3">
        <v>10</v>
      </c>
      <c r="O24" s="5">
        <v>4</v>
      </c>
      <c r="P24" s="6">
        <v>3</v>
      </c>
      <c r="Q24">
        <f t="shared" si="0"/>
        <v>12</v>
      </c>
      <c r="R24" t="str">
        <f t="shared" si="1"/>
        <v>Gleich</v>
      </c>
    </row>
    <row r="25" spans="10:18" x14ac:dyDescent="0.55000000000000004">
      <c r="J25" s="20">
        <v>11</v>
      </c>
      <c r="K25" s="21">
        <v>2</v>
      </c>
      <c r="L25" s="20">
        <v>4</v>
      </c>
      <c r="M25" s="20">
        <v>8</v>
      </c>
      <c r="N25" s="3">
        <v>11</v>
      </c>
      <c r="O25" s="5">
        <v>2</v>
      </c>
      <c r="P25" s="6">
        <v>5</v>
      </c>
      <c r="Q25">
        <f t="shared" si="0"/>
        <v>10</v>
      </c>
      <c r="R25" t="str">
        <f t="shared" si="1"/>
        <v>Nicht Gleich</v>
      </c>
    </row>
    <row r="26" spans="10:18" x14ac:dyDescent="0.55000000000000004">
      <c r="J26" s="20">
        <v>12</v>
      </c>
      <c r="K26" s="21">
        <v>4</v>
      </c>
      <c r="L26" s="20">
        <v>4</v>
      </c>
      <c r="M26" s="20">
        <v>16</v>
      </c>
      <c r="N26" s="3">
        <v>12</v>
      </c>
      <c r="O26" s="5">
        <v>4</v>
      </c>
      <c r="P26" s="6">
        <v>3</v>
      </c>
      <c r="Q26">
        <f t="shared" si="0"/>
        <v>12</v>
      </c>
      <c r="R26" t="str">
        <f t="shared" si="1"/>
        <v>Nicht Gleich</v>
      </c>
    </row>
    <row r="27" spans="10:18" x14ac:dyDescent="0.55000000000000004">
      <c r="J27" s="20">
        <v>13</v>
      </c>
      <c r="K27" s="22">
        <v>1</v>
      </c>
      <c r="L27" s="23">
        <v>5</v>
      </c>
      <c r="M27" s="23">
        <v>5</v>
      </c>
      <c r="N27" s="3">
        <v>13</v>
      </c>
      <c r="O27" s="5">
        <v>2</v>
      </c>
      <c r="P27" s="6">
        <v>5</v>
      </c>
      <c r="Q27">
        <f t="shared" si="0"/>
        <v>10</v>
      </c>
      <c r="R27" t="str">
        <f t="shared" si="1"/>
        <v>Nicht Gleich</v>
      </c>
    </row>
    <row r="28" spans="10:18" x14ac:dyDescent="0.55000000000000004">
      <c r="J28" s="3">
        <v>14</v>
      </c>
      <c r="K28" s="5">
        <v>2</v>
      </c>
      <c r="L28" s="6">
        <v>5</v>
      </c>
      <c r="M28" s="6">
        <v>10</v>
      </c>
      <c r="N28" s="3">
        <v>14</v>
      </c>
      <c r="O28" s="5">
        <v>2</v>
      </c>
      <c r="P28" s="6">
        <v>5</v>
      </c>
      <c r="Q28">
        <f t="shared" si="0"/>
        <v>10</v>
      </c>
      <c r="R28" t="str">
        <f t="shared" si="1"/>
        <v>Gleich</v>
      </c>
    </row>
    <row r="29" spans="10:18" x14ac:dyDescent="0.55000000000000004">
      <c r="J29" s="3">
        <v>15</v>
      </c>
      <c r="K29" s="5">
        <v>1</v>
      </c>
      <c r="L29" s="6">
        <v>5</v>
      </c>
      <c r="M29" s="6">
        <v>5</v>
      </c>
      <c r="N29" s="3">
        <v>15</v>
      </c>
      <c r="O29" s="5">
        <v>1</v>
      </c>
      <c r="P29" s="6">
        <v>5</v>
      </c>
      <c r="Q29">
        <f t="shared" si="0"/>
        <v>5</v>
      </c>
      <c r="R29" t="str">
        <f t="shared" si="1"/>
        <v>Gleich</v>
      </c>
    </row>
    <row r="30" spans="10:18" x14ac:dyDescent="0.55000000000000004">
      <c r="J30" s="20">
        <v>16</v>
      </c>
      <c r="K30" s="22">
        <v>1</v>
      </c>
      <c r="L30" s="23">
        <v>4</v>
      </c>
      <c r="M30" s="23">
        <v>4</v>
      </c>
      <c r="N30" s="3">
        <v>16</v>
      </c>
      <c r="O30" s="5">
        <v>2</v>
      </c>
      <c r="P30" s="6">
        <v>4</v>
      </c>
      <c r="Q30">
        <f t="shared" si="0"/>
        <v>8</v>
      </c>
      <c r="R30" t="str">
        <f t="shared" si="1"/>
        <v>Nicht Gleich</v>
      </c>
    </row>
    <row r="31" spans="10:18" x14ac:dyDescent="0.55000000000000004">
      <c r="J31" s="20">
        <v>17</v>
      </c>
      <c r="K31" s="21">
        <v>3</v>
      </c>
      <c r="L31" s="20">
        <v>5</v>
      </c>
      <c r="M31" s="20">
        <v>15</v>
      </c>
      <c r="N31" s="3">
        <v>17</v>
      </c>
      <c r="O31" s="5">
        <v>1</v>
      </c>
      <c r="P31" s="6">
        <v>5</v>
      </c>
      <c r="Q31">
        <f t="shared" si="0"/>
        <v>5</v>
      </c>
      <c r="R31" t="str">
        <f t="shared" si="1"/>
        <v>Nicht Gleich</v>
      </c>
    </row>
    <row r="32" spans="10:18" x14ac:dyDescent="0.55000000000000004">
      <c r="J32" s="3">
        <v>18</v>
      </c>
      <c r="K32" s="5">
        <v>2</v>
      </c>
      <c r="L32" s="6">
        <v>5</v>
      </c>
      <c r="M32" s="6">
        <v>10</v>
      </c>
      <c r="N32" s="3">
        <v>18</v>
      </c>
      <c r="O32" s="5">
        <v>2</v>
      </c>
      <c r="P32" s="6">
        <v>5</v>
      </c>
      <c r="Q32">
        <f t="shared" si="0"/>
        <v>10</v>
      </c>
      <c r="R32" t="str">
        <f t="shared" si="1"/>
        <v>Gleich</v>
      </c>
    </row>
    <row r="33" spans="10:18" x14ac:dyDescent="0.55000000000000004">
      <c r="J33" s="3">
        <v>19</v>
      </c>
      <c r="K33" s="5">
        <v>1</v>
      </c>
      <c r="L33" s="6">
        <v>5</v>
      </c>
      <c r="M33" s="6">
        <v>5</v>
      </c>
      <c r="N33" s="3">
        <v>19</v>
      </c>
      <c r="O33" s="5">
        <v>1</v>
      </c>
      <c r="P33" s="6">
        <v>5</v>
      </c>
      <c r="Q33">
        <f t="shared" si="0"/>
        <v>5</v>
      </c>
      <c r="R33" t="str">
        <f t="shared" si="1"/>
        <v>Gleich</v>
      </c>
    </row>
    <row r="34" spans="10:18" x14ac:dyDescent="0.55000000000000004">
      <c r="J34" s="3">
        <v>20</v>
      </c>
      <c r="K34" s="22">
        <v>4</v>
      </c>
      <c r="L34" s="23">
        <v>2</v>
      </c>
      <c r="M34" s="23">
        <v>8</v>
      </c>
      <c r="N34" s="3">
        <v>20</v>
      </c>
      <c r="O34" s="5">
        <v>5</v>
      </c>
      <c r="P34" s="6">
        <v>3</v>
      </c>
      <c r="Q34">
        <f t="shared" si="0"/>
        <v>15</v>
      </c>
      <c r="R34" t="str">
        <f t="shared" si="1"/>
        <v>Nicht Gleich</v>
      </c>
    </row>
    <row r="35" spans="10:18" x14ac:dyDescent="0.55000000000000004">
      <c r="J35" s="3">
        <v>21</v>
      </c>
      <c r="K35" s="5">
        <v>3</v>
      </c>
      <c r="L35" s="6">
        <v>4</v>
      </c>
      <c r="M35" s="6">
        <v>12</v>
      </c>
      <c r="Q35">
        <f t="shared" si="0"/>
        <v>0</v>
      </c>
      <c r="R35" t="str">
        <f t="shared" si="1"/>
        <v>Nicht Gleich</v>
      </c>
    </row>
    <row r="36" spans="10:18" x14ac:dyDescent="0.55000000000000004">
      <c r="J36" s="3">
        <v>22</v>
      </c>
      <c r="K36" s="5">
        <v>3</v>
      </c>
      <c r="L36" s="6">
        <v>4</v>
      </c>
      <c r="M36" s="6">
        <v>12</v>
      </c>
      <c r="Q36">
        <f t="shared" si="0"/>
        <v>0</v>
      </c>
      <c r="R36" t="str">
        <f t="shared" si="1"/>
        <v>Nicht Gleich</v>
      </c>
    </row>
    <row r="37" spans="10:18" x14ac:dyDescent="0.55000000000000004">
      <c r="J37" s="3">
        <v>23</v>
      </c>
      <c r="K37" s="5">
        <v>1</v>
      </c>
      <c r="L37" s="6">
        <v>5</v>
      </c>
      <c r="M37" s="6">
        <v>5</v>
      </c>
      <c r="Q37">
        <f t="shared" si="0"/>
        <v>0</v>
      </c>
      <c r="R37" t="str">
        <f t="shared" si="1"/>
        <v>Nicht Gleich</v>
      </c>
    </row>
  </sheetData>
  <autoFilter ref="J1:L37" xr:uid="{38F3AE2C-2824-4C08-B947-28E1493E0DC2}"/>
  <mergeCells count="2">
    <mergeCell ref="D2:H2"/>
    <mergeCell ref="B2:B8"/>
  </mergeCells>
  <pageMargins left="0.7" right="0.7" top="0.78740157499999996" bottom="0.78740157499999996" header="0.3" footer="0.3"/>
  <ignoredErrors>
    <ignoredError sqref="E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0573-9312-435B-A218-8989D53C9D2B}">
  <dimension ref="B1:M22"/>
  <sheetViews>
    <sheetView tabSelected="1" workbookViewId="0">
      <selection activeCell="F15" sqref="F15"/>
    </sheetView>
  </sheetViews>
  <sheetFormatPr baseColWidth="10" defaultRowHeight="14.4" x14ac:dyDescent="0.55000000000000004"/>
  <cols>
    <col min="3" max="3" width="12.15625" bestFit="1" customWidth="1"/>
    <col min="10" max="10" width="10.9453125" style="2"/>
    <col min="11" max="11" width="9.1015625" style="1" bestFit="1" customWidth="1"/>
    <col min="12" max="12" width="6.734375" style="1" bestFit="1" customWidth="1"/>
  </cols>
  <sheetData>
    <row r="1" spans="2:13" x14ac:dyDescent="0.55000000000000004">
      <c r="J1" s="3" t="s">
        <v>55</v>
      </c>
      <c r="K1" s="3" t="s">
        <v>3</v>
      </c>
      <c r="L1" s="3" t="s">
        <v>4</v>
      </c>
    </row>
    <row r="2" spans="2:13" x14ac:dyDescent="0.55000000000000004">
      <c r="B2" s="27" t="s">
        <v>3</v>
      </c>
      <c r="C2" s="28" t="s">
        <v>2</v>
      </c>
      <c r="D2" s="29" t="s">
        <v>4</v>
      </c>
      <c r="E2" s="29"/>
      <c r="F2" s="29"/>
      <c r="G2" s="29"/>
      <c r="H2" s="29"/>
      <c r="J2" s="3">
        <v>1</v>
      </c>
      <c r="K2" s="5">
        <v>2</v>
      </c>
      <c r="L2" s="6">
        <v>2</v>
      </c>
      <c r="M2" s="26"/>
    </row>
    <row r="3" spans="2:13" x14ac:dyDescent="0.55000000000000004">
      <c r="B3" s="27"/>
      <c r="C3" s="28"/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J3" s="3">
        <v>2</v>
      </c>
      <c r="K3" s="5">
        <v>2</v>
      </c>
      <c r="L3" s="6">
        <v>3</v>
      </c>
      <c r="M3" s="26"/>
    </row>
    <row r="4" spans="2:13" ht="14.4" customHeight="1" x14ac:dyDescent="0.55000000000000004">
      <c r="B4" s="27"/>
      <c r="C4" s="2" t="s">
        <v>5</v>
      </c>
      <c r="D4" s="14" t="s">
        <v>184</v>
      </c>
      <c r="E4" s="15" t="s">
        <v>183</v>
      </c>
      <c r="F4" s="16"/>
      <c r="G4" s="16"/>
      <c r="H4" s="16"/>
      <c r="J4" s="3">
        <v>3</v>
      </c>
      <c r="K4" s="5">
        <v>4</v>
      </c>
      <c r="L4" s="6">
        <v>2</v>
      </c>
      <c r="M4" s="26"/>
    </row>
    <row r="5" spans="2:13" x14ac:dyDescent="0.55000000000000004">
      <c r="B5" s="27"/>
      <c r="C5" s="2" t="s">
        <v>6</v>
      </c>
      <c r="D5" s="14">
        <v>21</v>
      </c>
      <c r="E5" s="15">
        <v>16</v>
      </c>
      <c r="F5" s="15">
        <v>9</v>
      </c>
      <c r="G5" s="16">
        <v>8</v>
      </c>
      <c r="H5" s="16"/>
      <c r="J5" s="3">
        <v>4</v>
      </c>
      <c r="K5" s="5">
        <v>4</v>
      </c>
      <c r="L5" s="6">
        <v>3</v>
      </c>
      <c r="M5" s="26"/>
    </row>
    <row r="6" spans="2:13" x14ac:dyDescent="0.55000000000000004">
      <c r="B6" s="27"/>
      <c r="C6" s="2" t="s">
        <v>7</v>
      </c>
      <c r="D6" s="17"/>
      <c r="E6" s="14"/>
      <c r="F6" s="15">
        <v>5</v>
      </c>
      <c r="G6" s="15" t="s">
        <v>83</v>
      </c>
      <c r="H6" s="16"/>
      <c r="J6" s="3">
        <v>5</v>
      </c>
      <c r="K6" s="5">
        <v>3</v>
      </c>
      <c r="L6" s="6">
        <v>3</v>
      </c>
      <c r="M6" s="26"/>
    </row>
    <row r="7" spans="2:13" x14ac:dyDescent="0.55000000000000004">
      <c r="B7" s="27"/>
      <c r="C7" s="2" t="s">
        <v>8</v>
      </c>
      <c r="D7" s="17"/>
      <c r="E7" s="17">
        <v>1</v>
      </c>
      <c r="F7" s="14" t="s">
        <v>182</v>
      </c>
      <c r="G7" s="14">
        <v>3</v>
      </c>
      <c r="H7" s="15"/>
      <c r="J7" s="3">
        <v>6</v>
      </c>
      <c r="K7" s="5">
        <v>4</v>
      </c>
      <c r="L7" s="6">
        <v>3</v>
      </c>
      <c r="M7" s="26"/>
    </row>
    <row r="8" spans="2:13" x14ac:dyDescent="0.55000000000000004">
      <c r="B8" s="27"/>
      <c r="C8" s="2" t="s">
        <v>9</v>
      </c>
      <c r="D8" s="17"/>
      <c r="E8" s="17"/>
      <c r="F8" s="17"/>
      <c r="G8" s="17"/>
      <c r="H8" s="14"/>
      <c r="J8" s="3">
        <v>7</v>
      </c>
      <c r="K8" s="5">
        <v>3</v>
      </c>
      <c r="L8" s="6">
        <v>2</v>
      </c>
      <c r="M8" s="26"/>
    </row>
    <row r="9" spans="2:13" x14ac:dyDescent="0.55000000000000004">
      <c r="J9" s="3">
        <v>8</v>
      </c>
      <c r="K9" s="5">
        <v>4</v>
      </c>
      <c r="L9" s="6">
        <v>4</v>
      </c>
      <c r="M9" s="26"/>
    </row>
    <row r="10" spans="2:13" x14ac:dyDescent="0.55000000000000004">
      <c r="J10" s="3">
        <v>9</v>
      </c>
      <c r="K10" s="5">
        <v>3</v>
      </c>
      <c r="L10" s="6">
        <v>4</v>
      </c>
      <c r="M10" s="26"/>
    </row>
    <row r="11" spans="2:13" x14ac:dyDescent="0.55000000000000004">
      <c r="J11" s="3">
        <v>10</v>
      </c>
      <c r="K11" s="5">
        <v>4</v>
      </c>
      <c r="L11" s="6">
        <v>3</v>
      </c>
      <c r="M11" s="26"/>
    </row>
    <row r="12" spans="2:13" x14ac:dyDescent="0.55000000000000004">
      <c r="J12" s="3">
        <v>11</v>
      </c>
      <c r="K12" s="5">
        <v>2</v>
      </c>
      <c r="L12" s="6">
        <v>5</v>
      </c>
      <c r="M12" s="26"/>
    </row>
    <row r="13" spans="2:13" x14ac:dyDescent="0.55000000000000004">
      <c r="J13" s="3">
        <v>12</v>
      </c>
      <c r="K13" s="5">
        <v>4</v>
      </c>
      <c r="L13" s="6">
        <v>3</v>
      </c>
      <c r="M13" s="26"/>
    </row>
    <row r="14" spans="2:13" x14ac:dyDescent="0.55000000000000004">
      <c r="J14" s="3">
        <v>13</v>
      </c>
      <c r="K14" s="5">
        <v>2</v>
      </c>
      <c r="L14" s="6">
        <v>5</v>
      </c>
      <c r="M14" s="26"/>
    </row>
    <row r="15" spans="2:13" x14ac:dyDescent="0.55000000000000004">
      <c r="J15" s="3">
        <v>14</v>
      </c>
      <c r="K15" s="5">
        <v>2</v>
      </c>
      <c r="L15" s="6">
        <v>5</v>
      </c>
      <c r="M15" s="26"/>
    </row>
    <row r="16" spans="2:13" x14ac:dyDescent="0.55000000000000004">
      <c r="J16" s="3">
        <v>15</v>
      </c>
      <c r="K16" s="5">
        <v>1</v>
      </c>
      <c r="L16" s="6">
        <v>5</v>
      </c>
      <c r="M16" s="26"/>
    </row>
    <row r="17" spans="10:13" x14ac:dyDescent="0.55000000000000004">
      <c r="J17" s="3">
        <v>16</v>
      </c>
      <c r="K17" s="5">
        <v>2</v>
      </c>
      <c r="L17" s="6">
        <v>4</v>
      </c>
      <c r="M17" s="26"/>
    </row>
    <row r="18" spans="10:13" x14ac:dyDescent="0.55000000000000004">
      <c r="J18" s="3">
        <v>17</v>
      </c>
      <c r="K18" s="5">
        <v>1</v>
      </c>
      <c r="L18" s="6">
        <v>5</v>
      </c>
      <c r="M18" s="26"/>
    </row>
    <row r="19" spans="10:13" x14ac:dyDescent="0.55000000000000004">
      <c r="J19" s="3">
        <v>18</v>
      </c>
      <c r="K19" s="5">
        <v>2</v>
      </c>
      <c r="L19" s="6">
        <v>5</v>
      </c>
      <c r="M19" s="26"/>
    </row>
    <row r="20" spans="10:13" x14ac:dyDescent="0.55000000000000004">
      <c r="J20" s="3">
        <v>19</v>
      </c>
      <c r="K20" s="5">
        <v>2</v>
      </c>
      <c r="L20" s="6">
        <v>5</v>
      </c>
      <c r="M20" s="26"/>
    </row>
    <row r="21" spans="10:13" x14ac:dyDescent="0.55000000000000004">
      <c r="J21" s="3">
        <v>20</v>
      </c>
      <c r="K21" s="5">
        <v>1</v>
      </c>
      <c r="L21" s="6">
        <v>5</v>
      </c>
      <c r="M21" s="26"/>
    </row>
    <row r="22" spans="10:13" x14ac:dyDescent="0.55000000000000004">
      <c r="J22" s="3">
        <v>21</v>
      </c>
      <c r="K22" s="5">
        <v>1</v>
      </c>
      <c r="L22" s="6">
        <v>4</v>
      </c>
      <c r="M22" s="26"/>
    </row>
  </sheetData>
  <mergeCells count="2">
    <mergeCell ref="D2:H2"/>
    <mergeCell ref="B2:B8"/>
  </mergeCells>
  <pageMargins left="0.7" right="0.7" top="0.78740157499999996" bottom="0.78740157499999996" header="0.3" footer="0.3"/>
  <ignoredErrors>
    <ignoredError sqref="E4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458A-F0B2-4399-BAB5-99C5BA883F62}">
  <dimension ref="A1:E20"/>
  <sheetViews>
    <sheetView workbookViewId="0">
      <selection activeCell="B20" sqref="B20"/>
    </sheetView>
  </sheetViews>
  <sheetFormatPr baseColWidth="10" defaultRowHeight="14.4" x14ac:dyDescent="0.55000000000000004"/>
  <cols>
    <col min="1" max="1" width="10.89453125" style="2"/>
    <col min="2" max="2" width="18.1015625" style="1" bestFit="1" customWidth="1"/>
    <col min="3" max="3" width="52.5234375" style="1" bestFit="1" customWidth="1"/>
    <col min="4" max="4" width="9.1015625" style="1" bestFit="1" customWidth="1"/>
    <col min="5" max="5" width="6.734375" style="1" bestFit="1" customWidth="1"/>
  </cols>
  <sheetData>
    <row r="1" spans="1:5" ht="23.7" x14ac:dyDescent="0.55000000000000004">
      <c r="A1" s="3" t="s">
        <v>55</v>
      </c>
      <c r="B1" s="3" t="s">
        <v>15</v>
      </c>
      <c r="C1" s="4" t="s">
        <v>0</v>
      </c>
      <c r="D1" s="3" t="s">
        <v>3</v>
      </c>
      <c r="E1" s="3" t="s">
        <v>4</v>
      </c>
    </row>
    <row r="2" spans="1:5" x14ac:dyDescent="0.55000000000000004">
      <c r="A2" s="3">
        <v>1</v>
      </c>
      <c r="B2" s="3" t="s">
        <v>16</v>
      </c>
      <c r="C2" s="5" t="s">
        <v>19</v>
      </c>
      <c r="D2" s="5">
        <v>2</v>
      </c>
      <c r="E2" s="6">
        <v>2</v>
      </c>
    </row>
    <row r="3" spans="1:5" x14ac:dyDescent="0.55000000000000004">
      <c r="A3" s="3">
        <v>2</v>
      </c>
      <c r="B3" s="3" t="s">
        <v>16</v>
      </c>
      <c r="C3" s="5" t="s">
        <v>21</v>
      </c>
      <c r="D3" s="5">
        <v>2</v>
      </c>
      <c r="E3" s="6">
        <v>3</v>
      </c>
    </row>
    <row r="4" spans="1:5" x14ac:dyDescent="0.55000000000000004">
      <c r="A4" s="3">
        <v>3</v>
      </c>
      <c r="B4" s="3" t="s">
        <v>23</v>
      </c>
      <c r="C4" s="5" t="s">
        <v>1</v>
      </c>
      <c r="D4" s="5">
        <v>4</v>
      </c>
      <c r="E4" s="6">
        <v>2</v>
      </c>
    </row>
    <row r="5" spans="1:5" x14ac:dyDescent="0.55000000000000004">
      <c r="A5" s="3">
        <v>4</v>
      </c>
      <c r="B5" s="3" t="s">
        <v>23</v>
      </c>
      <c r="C5" s="5" t="s">
        <v>17</v>
      </c>
      <c r="D5" s="5">
        <v>4</v>
      </c>
      <c r="E5" s="6">
        <v>3</v>
      </c>
    </row>
    <row r="6" spans="1:5" x14ac:dyDescent="0.55000000000000004">
      <c r="A6" s="3">
        <v>5</v>
      </c>
      <c r="B6" s="3" t="s">
        <v>23</v>
      </c>
      <c r="C6" s="5" t="s">
        <v>75</v>
      </c>
      <c r="D6" s="5">
        <v>3</v>
      </c>
      <c r="E6" s="6">
        <v>3</v>
      </c>
    </row>
    <row r="7" spans="1:5" x14ac:dyDescent="0.55000000000000004">
      <c r="A7" s="3">
        <v>6</v>
      </c>
      <c r="B7" s="3" t="s">
        <v>23</v>
      </c>
      <c r="C7" s="5" t="s">
        <v>79</v>
      </c>
      <c r="D7" s="5">
        <v>4</v>
      </c>
      <c r="E7" s="6">
        <v>3</v>
      </c>
    </row>
    <row r="8" spans="1:5" x14ac:dyDescent="0.55000000000000004">
      <c r="A8" s="3">
        <v>7</v>
      </c>
      <c r="B8" s="3" t="s">
        <v>23</v>
      </c>
      <c r="C8" s="5" t="s">
        <v>24</v>
      </c>
      <c r="D8" s="5">
        <v>3</v>
      </c>
      <c r="E8" s="6">
        <v>2</v>
      </c>
    </row>
    <row r="9" spans="1:5" x14ac:dyDescent="0.55000000000000004">
      <c r="A9" s="3">
        <v>8</v>
      </c>
      <c r="B9" s="3" t="s">
        <v>27</v>
      </c>
      <c r="C9" s="5" t="s">
        <v>28</v>
      </c>
      <c r="D9" s="5">
        <v>4</v>
      </c>
      <c r="E9" s="6">
        <v>4</v>
      </c>
    </row>
    <row r="10" spans="1:5" x14ac:dyDescent="0.55000000000000004">
      <c r="A10" s="3">
        <v>9</v>
      </c>
      <c r="B10" s="3" t="s">
        <v>27</v>
      </c>
      <c r="C10" s="5" t="s">
        <v>30</v>
      </c>
      <c r="D10" s="5">
        <v>3</v>
      </c>
      <c r="E10" s="6">
        <v>4</v>
      </c>
    </row>
    <row r="11" spans="1:5" x14ac:dyDescent="0.55000000000000004">
      <c r="A11" s="3">
        <v>10</v>
      </c>
      <c r="B11" s="3" t="s">
        <v>32</v>
      </c>
      <c r="C11" s="5" t="s">
        <v>33</v>
      </c>
      <c r="D11" s="5">
        <v>4</v>
      </c>
      <c r="E11" s="6">
        <v>3</v>
      </c>
    </row>
    <row r="12" spans="1:5" x14ac:dyDescent="0.55000000000000004">
      <c r="A12" s="3">
        <v>11</v>
      </c>
      <c r="B12" s="3" t="s">
        <v>32</v>
      </c>
      <c r="C12" s="5" t="s">
        <v>35</v>
      </c>
      <c r="D12" s="5">
        <v>2</v>
      </c>
      <c r="E12" s="6">
        <v>5</v>
      </c>
    </row>
    <row r="13" spans="1:5" x14ac:dyDescent="0.55000000000000004">
      <c r="A13" s="3">
        <v>12</v>
      </c>
      <c r="B13" s="3" t="s">
        <v>37</v>
      </c>
      <c r="C13" s="5" t="s">
        <v>38</v>
      </c>
      <c r="D13" s="5">
        <v>4</v>
      </c>
      <c r="E13" s="6">
        <v>3</v>
      </c>
    </row>
    <row r="14" spans="1:5" x14ac:dyDescent="0.55000000000000004">
      <c r="A14" s="3">
        <v>13</v>
      </c>
      <c r="B14" s="3" t="s">
        <v>37</v>
      </c>
      <c r="C14" s="5" t="s">
        <v>40</v>
      </c>
      <c r="D14" s="5">
        <v>2</v>
      </c>
      <c r="E14" s="6">
        <v>5</v>
      </c>
    </row>
    <row r="15" spans="1:5" x14ac:dyDescent="0.55000000000000004">
      <c r="A15" s="3">
        <v>14</v>
      </c>
      <c r="B15" s="3" t="s">
        <v>42</v>
      </c>
      <c r="C15" s="5" t="s">
        <v>43</v>
      </c>
      <c r="D15" s="5">
        <v>2</v>
      </c>
      <c r="E15" s="6">
        <v>5</v>
      </c>
    </row>
    <row r="16" spans="1:5" x14ac:dyDescent="0.55000000000000004">
      <c r="A16" s="3">
        <v>15</v>
      </c>
      <c r="B16" s="3" t="s">
        <v>42</v>
      </c>
      <c r="C16" s="5" t="s">
        <v>45</v>
      </c>
      <c r="D16" s="5">
        <v>1</v>
      </c>
      <c r="E16" s="6">
        <v>5</v>
      </c>
    </row>
    <row r="17" spans="1:5" x14ac:dyDescent="0.55000000000000004">
      <c r="A17" s="3">
        <v>16</v>
      </c>
      <c r="B17" s="3" t="s">
        <v>47</v>
      </c>
      <c r="C17" s="5" t="s">
        <v>48</v>
      </c>
      <c r="D17" s="5">
        <v>2</v>
      </c>
      <c r="E17" s="6">
        <v>4</v>
      </c>
    </row>
    <row r="18" spans="1:5" x14ac:dyDescent="0.55000000000000004">
      <c r="A18" s="3">
        <v>17</v>
      </c>
      <c r="B18" s="3" t="s">
        <v>47</v>
      </c>
      <c r="C18" s="5" t="s">
        <v>50</v>
      </c>
      <c r="D18" s="5">
        <v>1</v>
      </c>
      <c r="E18" s="6">
        <v>5</v>
      </c>
    </row>
    <row r="19" spans="1:5" x14ac:dyDescent="0.55000000000000004">
      <c r="A19" s="3">
        <v>18</v>
      </c>
      <c r="B19" s="3" t="s">
        <v>52</v>
      </c>
      <c r="C19" s="5" t="s">
        <v>53</v>
      </c>
      <c r="D19" s="5">
        <v>2</v>
      </c>
      <c r="E19" s="6">
        <v>5</v>
      </c>
    </row>
    <row r="20" spans="1:5" x14ac:dyDescent="0.55000000000000004">
      <c r="A20" s="3">
        <v>19</v>
      </c>
      <c r="B20" s="3" t="s">
        <v>52</v>
      </c>
      <c r="C20" s="5" t="s">
        <v>117</v>
      </c>
      <c r="D20" s="5">
        <v>2</v>
      </c>
      <c r="E20" s="6">
        <v>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2C4B-86F0-456F-9E76-A960D71BEE17}">
  <dimension ref="A1:E20"/>
  <sheetViews>
    <sheetView topLeftCell="A6" workbookViewId="0">
      <selection activeCell="C20" sqref="C20"/>
    </sheetView>
  </sheetViews>
  <sheetFormatPr baseColWidth="10" defaultRowHeight="14.4" x14ac:dyDescent="0.55000000000000004"/>
  <cols>
    <col min="1" max="1" width="10.89453125" style="2"/>
    <col min="2" max="2" width="52.5234375" style="1" bestFit="1" customWidth="1"/>
    <col min="3" max="3" width="25.5234375" style="1" bestFit="1" customWidth="1"/>
    <col min="4" max="4" width="10.89453125" style="1"/>
    <col min="5" max="5" width="51.47265625" style="1" bestFit="1" customWidth="1"/>
  </cols>
  <sheetData>
    <row r="1" spans="1:5" ht="23.7" x14ac:dyDescent="0.55000000000000004">
      <c r="A1" s="3" t="s">
        <v>55</v>
      </c>
      <c r="B1" s="4" t="s">
        <v>0</v>
      </c>
      <c r="C1" s="3" t="s">
        <v>25</v>
      </c>
      <c r="D1" s="3" t="s">
        <v>84</v>
      </c>
      <c r="E1" s="3" t="s">
        <v>85</v>
      </c>
    </row>
    <row r="2" spans="1:5" ht="28.8" x14ac:dyDescent="0.55000000000000004">
      <c r="A2" s="3">
        <v>1</v>
      </c>
      <c r="B2" s="5" t="s">
        <v>19</v>
      </c>
      <c r="C2" s="5" t="s">
        <v>20</v>
      </c>
      <c r="D2" s="6" t="s">
        <v>77</v>
      </c>
      <c r="E2" s="6" t="s">
        <v>71</v>
      </c>
    </row>
    <row r="3" spans="1:5" ht="28.8" x14ac:dyDescent="0.55000000000000004">
      <c r="A3" s="3">
        <v>2</v>
      </c>
      <c r="B3" s="5" t="s">
        <v>21</v>
      </c>
      <c r="C3" s="5" t="s">
        <v>22</v>
      </c>
      <c r="D3" s="6" t="s">
        <v>77</v>
      </c>
      <c r="E3" s="6" t="s">
        <v>72</v>
      </c>
    </row>
    <row r="4" spans="1:5" ht="28.8" x14ac:dyDescent="0.55000000000000004">
      <c r="A4" s="3">
        <v>3</v>
      </c>
      <c r="B4" s="5" t="s">
        <v>1</v>
      </c>
      <c r="C4" s="5" t="s">
        <v>58</v>
      </c>
      <c r="D4" s="6" t="s">
        <v>59</v>
      </c>
      <c r="E4" s="6" t="s">
        <v>88</v>
      </c>
    </row>
    <row r="5" spans="1:5" ht="28.8" x14ac:dyDescent="0.55000000000000004">
      <c r="A5" s="3">
        <v>4</v>
      </c>
      <c r="B5" s="5" t="s">
        <v>17</v>
      </c>
      <c r="C5" s="5" t="s">
        <v>18</v>
      </c>
      <c r="D5" s="6" t="s">
        <v>59</v>
      </c>
      <c r="E5" s="6" t="s">
        <v>70</v>
      </c>
    </row>
    <row r="6" spans="1:5" ht="28.8" x14ac:dyDescent="0.55000000000000004">
      <c r="A6" s="3">
        <v>5</v>
      </c>
      <c r="B6" s="5" t="s">
        <v>75</v>
      </c>
      <c r="C6" s="5" t="s">
        <v>76</v>
      </c>
      <c r="D6" s="6" t="s">
        <v>59</v>
      </c>
      <c r="E6" s="6" t="s">
        <v>78</v>
      </c>
    </row>
    <row r="7" spans="1:5" ht="43.2" x14ac:dyDescent="0.55000000000000004">
      <c r="A7" s="3">
        <v>6</v>
      </c>
      <c r="B7" s="5" t="s">
        <v>79</v>
      </c>
      <c r="C7" s="5" t="s">
        <v>80</v>
      </c>
      <c r="D7" s="6" t="s">
        <v>77</v>
      </c>
      <c r="E7" s="6" t="s">
        <v>81</v>
      </c>
    </row>
    <row r="8" spans="1:5" x14ac:dyDescent="0.55000000000000004">
      <c r="A8" s="3">
        <v>7</v>
      </c>
      <c r="B8" s="5" t="s">
        <v>24</v>
      </c>
      <c r="C8" s="5" t="s">
        <v>26</v>
      </c>
      <c r="D8" s="6" t="s">
        <v>77</v>
      </c>
      <c r="E8" s="6" t="s">
        <v>63</v>
      </c>
    </row>
    <row r="9" spans="1:5" ht="28.8" x14ac:dyDescent="0.55000000000000004">
      <c r="A9" s="3">
        <v>8</v>
      </c>
      <c r="B9" s="5" t="s">
        <v>86</v>
      </c>
      <c r="C9" s="5" t="s">
        <v>29</v>
      </c>
      <c r="D9" s="6" t="s">
        <v>59</v>
      </c>
      <c r="E9" s="6" t="s">
        <v>69</v>
      </c>
    </row>
    <row r="10" spans="1:5" x14ac:dyDescent="0.55000000000000004">
      <c r="A10" s="3">
        <v>9</v>
      </c>
      <c r="B10" s="5" t="s">
        <v>87</v>
      </c>
      <c r="C10" s="5" t="s">
        <v>31</v>
      </c>
      <c r="D10" s="6" t="s">
        <v>60</v>
      </c>
      <c r="E10" s="6" t="s">
        <v>68</v>
      </c>
    </row>
    <row r="11" spans="1:5" ht="28.8" x14ac:dyDescent="0.55000000000000004">
      <c r="A11" s="3">
        <v>10</v>
      </c>
      <c r="B11" s="5" t="s">
        <v>33</v>
      </c>
      <c r="C11" s="5" t="s">
        <v>34</v>
      </c>
      <c r="D11" s="6" t="s">
        <v>59</v>
      </c>
      <c r="E11" s="6" t="s">
        <v>73</v>
      </c>
    </row>
    <row r="12" spans="1:5" ht="43.2" x14ac:dyDescent="0.55000000000000004">
      <c r="A12" s="3">
        <v>11</v>
      </c>
      <c r="B12" s="5" t="s">
        <v>35</v>
      </c>
      <c r="C12" s="5" t="s">
        <v>36</v>
      </c>
      <c r="D12" s="6" t="s">
        <v>77</v>
      </c>
      <c r="E12" s="6" t="s">
        <v>67</v>
      </c>
    </row>
    <row r="13" spans="1:5" x14ac:dyDescent="0.55000000000000004">
      <c r="A13" s="3">
        <v>12</v>
      </c>
      <c r="B13" s="5" t="s">
        <v>38</v>
      </c>
      <c r="C13" s="5" t="s">
        <v>39</v>
      </c>
      <c r="D13" s="6" t="s">
        <v>59</v>
      </c>
      <c r="E13" s="6"/>
    </row>
    <row r="14" spans="1:5" ht="28.8" x14ac:dyDescent="0.55000000000000004">
      <c r="A14" s="3">
        <v>13</v>
      </c>
      <c r="B14" s="5" t="s">
        <v>40</v>
      </c>
      <c r="C14" s="5" t="s">
        <v>41</v>
      </c>
      <c r="D14" s="6" t="s">
        <v>77</v>
      </c>
      <c r="E14" s="6" t="s">
        <v>66</v>
      </c>
    </row>
    <row r="15" spans="1:5" ht="28.8" x14ac:dyDescent="0.55000000000000004">
      <c r="A15" s="3">
        <v>14</v>
      </c>
      <c r="B15" s="5" t="s">
        <v>43</v>
      </c>
      <c r="C15" s="5" t="s">
        <v>44</v>
      </c>
      <c r="D15" s="6" t="s">
        <v>77</v>
      </c>
      <c r="E15" s="6" t="s">
        <v>65</v>
      </c>
    </row>
    <row r="16" spans="1:5" ht="28.8" x14ac:dyDescent="0.55000000000000004">
      <c r="A16" s="3">
        <v>15</v>
      </c>
      <c r="B16" s="5" t="s">
        <v>45</v>
      </c>
      <c r="C16" s="5" t="s">
        <v>46</v>
      </c>
      <c r="D16" s="6" t="s">
        <v>59</v>
      </c>
      <c r="E16" s="6"/>
    </row>
    <row r="17" spans="1:5" ht="28.8" x14ac:dyDescent="0.55000000000000004">
      <c r="A17" s="3">
        <v>16</v>
      </c>
      <c r="B17" s="5" t="s">
        <v>48</v>
      </c>
      <c r="C17" s="5" t="s">
        <v>49</v>
      </c>
      <c r="D17" s="6" t="s">
        <v>77</v>
      </c>
      <c r="E17" s="6" t="s">
        <v>64</v>
      </c>
    </row>
    <row r="18" spans="1:5" ht="43.2" x14ac:dyDescent="0.55000000000000004">
      <c r="A18" s="3">
        <v>17</v>
      </c>
      <c r="B18" s="5" t="s">
        <v>50</v>
      </c>
      <c r="C18" s="5" t="s">
        <v>51</v>
      </c>
      <c r="D18" s="6" t="s">
        <v>77</v>
      </c>
      <c r="E18" s="6" t="s">
        <v>74</v>
      </c>
    </row>
    <row r="19" spans="1:5" x14ac:dyDescent="0.55000000000000004">
      <c r="A19" s="3">
        <v>18</v>
      </c>
      <c r="B19" s="5" t="s">
        <v>53</v>
      </c>
      <c r="C19" s="5" t="s">
        <v>54</v>
      </c>
      <c r="D19" s="6" t="s">
        <v>59</v>
      </c>
      <c r="E19" s="6" t="s">
        <v>82</v>
      </c>
    </row>
    <row r="20" spans="1:5" ht="43.2" x14ac:dyDescent="0.55000000000000004">
      <c r="A20" s="3">
        <v>19</v>
      </c>
      <c r="B20" s="5" t="s">
        <v>117</v>
      </c>
      <c r="C20" s="5" t="s">
        <v>116</v>
      </c>
      <c r="D20" s="6" t="s">
        <v>59</v>
      </c>
      <c r="E20" s="6" t="s">
        <v>82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151-7D7B-4E13-A86C-35CB016C1B9B}">
  <dimension ref="A1:D20"/>
  <sheetViews>
    <sheetView workbookViewId="0">
      <selection activeCell="B20" sqref="B20"/>
    </sheetView>
  </sheetViews>
  <sheetFormatPr baseColWidth="10" defaultRowHeight="14.4" x14ac:dyDescent="0.55000000000000004"/>
  <cols>
    <col min="1" max="1" width="10.89453125" style="2"/>
    <col min="2" max="2" width="52.5234375" style="1" bestFit="1" customWidth="1"/>
    <col min="3" max="3" width="44" style="1" customWidth="1"/>
    <col min="4" max="4" width="10.89453125" style="1"/>
  </cols>
  <sheetData>
    <row r="1" spans="1:4" ht="23.7" x14ac:dyDescent="0.55000000000000004">
      <c r="A1" s="3" t="s">
        <v>55</v>
      </c>
      <c r="B1" s="4" t="s">
        <v>0</v>
      </c>
      <c r="C1" s="6" t="s">
        <v>90</v>
      </c>
      <c r="D1" s="6" t="s">
        <v>89</v>
      </c>
    </row>
    <row r="2" spans="1:4" x14ac:dyDescent="0.55000000000000004">
      <c r="A2" s="3">
        <v>1</v>
      </c>
      <c r="B2" s="5" t="s">
        <v>19</v>
      </c>
      <c r="C2" s="6" t="s">
        <v>106</v>
      </c>
      <c r="D2" s="8">
        <v>72981</v>
      </c>
    </row>
    <row r="3" spans="1:4" x14ac:dyDescent="0.55000000000000004">
      <c r="A3" s="3">
        <v>2</v>
      </c>
      <c r="B3" s="5" t="s">
        <v>21</v>
      </c>
      <c r="C3" s="6" t="s">
        <v>107</v>
      </c>
      <c r="D3" s="6"/>
    </row>
    <row r="4" spans="1:4" x14ac:dyDescent="0.55000000000000004">
      <c r="A4" s="3">
        <v>3</v>
      </c>
      <c r="B4" s="5" t="s">
        <v>1</v>
      </c>
      <c r="C4" s="6" t="s">
        <v>91</v>
      </c>
      <c r="D4" s="8">
        <v>45953</v>
      </c>
    </row>
    <row r="5" spans="1:4" x14ac:dyDescent="0.55000000000000004">
      <c r="A5" s="3">
        <v>4</v>
      </c>
      <c r="B5" s="5" t="s">
        <v>17</v>
      </c>
      <c r="C5" s="6" t="s">
        <v>91</v>
      </c>
      <c r="D5" s="8">
        <v>45953</v>
      </c>
    </row>
    <row r="6" spans="1:4" x14ac:dyDescent="0.55000000000000004">
      <c r="A6" s="3">
        <v>5</v>
      </c>
      <c r="B6" s="5" t="s">
        <v>75</v>
      </c>
      <c r="C6" s="6" t="s">
        <v>91</v>
      </c>
      <c r="D6" s="8">
        <v>45953</v>
      </c>
    </row>
    <row r="7" spans="1:4" x14ac:dyDescent="0.55000000000000004">
      <c r="A7" s="3">
        <v>6</v>
      </c>
      <c r="B7" s="5" t="s">
        <v>79</v>
      </c>
      <c r="C7" s="6" t="s">
        <v>92</v>
      </c>
      <c r="D7" s="8">
        <v>45940</v>
      </c>
    </row>
    <row r="8" spans="1:4" x14ac:dyDescent="0.55000000000000004">
      <c r="A8" s="3">
        <v>7</v>
      </c>
      <c r="B8" s="5" t="s">
        <v>24</v>
      </c>
      <c r="C8" s="6" t="s">
        <v>93</v>
      </c>
      <c r="D8" s="8">
        <v>45947</v>
      </c>
    </row>
    <row r="9" spans="1:4" x14ac:dyDescent="0.55000000000000004">
      <c r="A9" s="3">
        <v>8</v>
      </c>
      <c r="B9" s="5" t="s">
        <v>28</v>
      </c>
      <c r="C9" s="6" t="s">
        <v>94</v>
      </c>
      <c r="D9" s="8">
        <v>45953</v>
      </c>
    </row>
    <row r="10" spans="1:4" x14ac:dyDescent="0.55000000000000004">
      <c r="A10" s="3">
        <v>9</v>
      </c>
      <c r="B10" s="5" t="s">
        <v>30</v>
      </c>
      <c r="C10" s="6" t="s">
        <v>95</v>
      </c>
      <c r="D10" s="8">
        <v>45953</v>
      </c>
    </row>
    <row r="11" spans="1:4" x14ac:dyDescent="0.55000000000000004">
      <c r="A11" s="3">
        <v>10</v>
      </c>
      <c r="B11" s="5" t="s">
        <v>33</v>
      </c>
      <c r="C11" s="6" t="s">
        <v>91</v>
      </c>
      <c r="D11" s="8">
        <v>45953</v>
      </c>
    </row>
    <row r="12" spans="1:4" x14ac:dyDescent="0.55000000000000004">
      <c r="A12" s="3">
        <v>11</v>
      </c>
      <c r="B12" s="5" t="s">
        <v>35</v>
      </c>
      <c r="C12" s="6" t="s">
        <v>97</v>
      </c>
      <c r="D12" s="6" t="s">
        <v>96</v>
      </c>
    </row>
    <row r="13" spans="1:4" x14ac:dyDescent="0.55000000000000004">
      <c r="A13" s="3">
        <v>12</v>
      </c>
      <c r="B13" s="5" t="s">
        <v>38</v>
      </c>
      <c r="C13" s="6" t="s">
        <v>91</v>
      </c>
      <c r="D13" s="8">
        <v>45953</v>
      </c>
    </row>
    <row r="14" spans="1:4" x14ac:dyDescent="0.55000000000000004">
      <c r="A14" s="3">
        <v>13</v>
      </c>
      <c r="B14" s="5" t="s">
        <v>40</v>
      </c>
      <c r="C14" s="6" t="s">
        <v>100</v>
      </c>
      <c r="D14" s="8">
        <v>45940</v>
      </c>
    </row>
    <row r="15" spans="1:4" x14ac:dyDescent="0.55000000000000004">
      <c r="A15" s="3">
        <v>14</v>
      </c>
      <c r="B15" s="5" t="s">
        <v>43</v>
      </c>
      <c r="C15" s="6" t="s">
        <v>101</v>
      </c>
      <c r="D15" s="8">
        <v>45947</v>
      </c>
    </row>
    <row r="16" spans="1:4" x14ac:dyDescent="0.55000000000000004">
      <c r="A16" s="3">
        <v>15</v>
      </c>
      <c r="B16" s="5" t="s">
        <v>45</v>
      </c>
      <c r="C16" s="6" t="s">
        <v>91</v>
      </c>
      <c r="D16" s="8">
        <v>45940</v>
      </c>
    </row>
    <row r="17" spans="1:4" x14ac:dyDescent="0.55000000000000004">
      <c r="A17" s="3">
        <v>16</v>
      </c>
      <c r="B17" s="5" t="s">
        <v>48</v>
      </c>
      <c r="C17" s="6" t="s">
        <v>104</v>
      </c>
      <c r="D17" s="8">
        <v>45926</v>
      </c>
    </row>
    <row r="18" spans="1:4" x14ac:dyDescent="0.55000000000000004">
      <c r="A18" s="3">
        <v>17</v>
      </c>
      <c r="B18" s="5" t="s">
        <v>50</v>
      </c>
      <c r="C18" s="6" t="s">
        <v>105</v>
      </c>
      <c r="D18" s="8">
        <v>45926</v>
      </c>
    </row>
    <row r="19" spans="1:4" x14ac:dyDescent="0.55000000000000004">
      <c r="A19" s="3">
        <v>18</v>
      </c>
      <c r="B19" s="5" t="s">
        <v>53</v>
      </c>
      <c r="C19" s="6" t="s">
        <v>91</v>
      </c>
      <c r="D19" s="8">
        <v>45953</v>
      </c>
    </row>
    <row r="20" spans="1:4" x14ac:dyDescent="0.55000000000000004">
      <c r="A20" s="3">
        <v>19</v>
      </c>
      <c r="B20" s="5" t="s">
        <v>117</v>
      </c>
      <c r="C20" s="6" t="s">
        <v>91</v>
      </c>
      <c r="D20" s="8">
        <v>45953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39C4-D2DC-4635-A96D-B4AE35CFCD8F}">
  <dimension ref="A1:G21"/>
  <sheetViews>
    <sheetView workbookViewId="0">
      <selection activeCell="A21" sqref="A21:H21"/>
    </sheetView>
  </sheetViews>
  <sheetFormatPr baseColWidth="10" defaultRowHeight="14.4" x14ac:dyDescent="0.55000000000000004"/>
  <cols>
    <col min="2" max="2" width="26.05078125" customWidth="1"/>
    <col min="3" max="3" width="13.9453125" bestFit="1" customWidth="1"/>
    <col min="4" max="4" width="48.9453125" customWidth="1"/>
    <col min="5" max="5" width="21.1015625" customWidth="1"/>
    <col min="6" max="6" width="16" customWidth="1"/>
    <col min="7" max="7" width="15.62890625" customWidth="1"/>
  </cols>
  <sheetData>
    <row r="1" spans="1:7" ht="23.7" x14ac:dyDescent="0.55000000000000004">
      <c r="A1" s="3" t="s">
        <v>55</v>
      </c>
      <c r="B1" s="4" t="s">
        <v>0</v>
      </c>
      <c r="C1" s="6" t="s">
        <v>111</v>
      </c>
      <c r="D1" s="6" t="s">
        <v>110</v>
      </c>
      <c r="E1" s="6" t="s">
        <v>108</v>
      </c>
      <c r="F1" s="9" t="s">
        <v>109</v>
      </c>
      <c r="G1" s="9" t="s">
        <v>115</v>
      </c>
    </row>
    <row r="2" spans="1:7" x14ac:dyDescent="0.55000000000000004">
      <c r="A2" s="3">
        <v>1</v>
      </c>
      <c r="B2" s="5" t="s">
        <v>19</v>
      </c>
      <c r="C2" s="6" t="s">
        <v>112</v>
      </c>
      <c r="D2" s="6"/>
      <c r="E2" s="8" t="s">
        <v>109</v>
      </c>
    </row>
    <row r="3" spans="1:7" x14ac:dyDescent="0.55000000000000004">
      <c r="A3" s="3">
        <v>2</v>
      </c>
      <c r="B3" s="5" t="s">
        <v>21</v>
      </c>
      <c r="C3" s="6" t="s">
        <v>112</v>
      </c>
      <c r="D3" s="6"/>
      <c r="E3" s="8" t="s">
        <v>114</v>
      </c>
    </row>
    <row r="4" spans="1:7" x14ac:dyDescent="0.55000000000000004">
      <c r="A4" s="3">
        <v>3</v>
      </c>
      <c r="B4" s="5" t="s">
        <v>1</v>
      </c>
      <c r="C4" s="6" t="s">
        <v>113</v>
      </c>
      <c r="D4" s="6" t="s">
        <v>120</v>
      </c>
      <c r="E4" s="8" t="s">
        <v>125</v>
      </c>
      <c r="F4" t="s">
        <v>126</v>
      </c>
      <c r="G4" s="10">
        <v>46227</v>
      </c>
    </row>
    <row r="5" spans="1:7" x14ac:dyDescent="0.55000000000000004">
      <c r="A5" s="3">
        <v>4</v>
      </c>
      <c r="B5" s="5" t="s">
        <v>17</v>
      </c>
      <c r="C5" s="6" t="s">
        <v>113</v>
      </c>
      <c r="D5" s="6" t="s">
        <v>131</v>
      </c>
      <c r="E5" s="8" t="s">
        <v>132</v>
      </c>
      <c r="F5" t="s">
        <v>133</v>
      </c>
      <c r="G5" s="10">
        <v>46227</v>
      </c>
    </row>
    <row r="6" spans="1:7" x14ac:dyDescent="0.55000000000000004">
      <c r="A6" s="3">
        <v>5</v>
      </c>
      <c r="B6" s="5" t="s">
        <v>75</v>
      </c>
      <c r="C6" s="6" t="s">
        <v>113</v>
      </c>
      <c r="D6" s="6" t="s">
        <v>123</v>
      </c>
      <c r="E6" s="8" t="s">
        <v>124</v>
      </c>
      <c r="G6" s="10">
        <v>46227</v>
      </c>
    </row>
    <row r="7" spans="1:7" x14ac:dyDescent="0.55000000000000004">
      <c r="A7" s="3">
        <v>6</v>
      </c>
      <c r="B7" s="5" t="s">
        <v>79</v>
      </c>
      <c r="C7" s="6" t="s">
        <v>112</v>
      </c>
      <c r="D7" s="6" t="s">
        <v>121</v>
      </c>
      <c r="E7" s="8" t="s">
        <v>122</v>
      </c>
      <c r="G7" s="10"/>
    </row>
    <row r="8" spans="1:7" x14ac:dyDescent="0.55000000000000004">
      <c r="A8" s="3">
        <v>7</v>
      </c>
      <c r="B8" s="5" t="s">
        <v>24</v>
      </c>
      <c r="C8" s="6" t="s">
        <v>112</v>
      </c>
      <c r="D8" s="9"/>
      <c r="E8" s="6" t="s">
        <v>127</v>
      </c>
      <c r="F8" t="s">
        <v>134</v>
      </c>
      <c r="G8" s="10">
        <v>46227</v>
      </c>
    </row>
    <row r="9" spans="1:7" ht="28.8" x14ac:dyDescent="0.55000000000000004">
      <c r="A9" s="3">
        <v>8</v>
      </c>
      <c r="B9" s="5" t="s">
        <v>28</v>
      </c>
      <c r="C9" s="6" t="s">
        <v>112</v>
      </c>
      <c r="D9" s="6"/>
      <c r="E9" s="8"/>
    </row>
    <row r="10" spans="1:7" ht="28.8" x14ac:dyDescent="0.55000000000000004">
      <c r="A10" s="3">
        <v>9</v>
      </c>
      <c r="B10" s="5" t="s">
        <v>30</v>
      </c>
      <c r="C10" s="6" t="s">
        <v>112</v>
      </c>
      <c r="D10" s="6"/>
      <c r="E10" s="8"/>
    </row>
    <row r="11" spans="1:7" ht="28.8" x14ac:dyDescent="0.55000000000000004">
      <c r="A11" s="3">
        <v>10</v>
      </c>
      <c r="B11" s="5" t="s">
        <v>33</v>
      </c>
      <c r="C11" s="6" t="s">
        <v>112</v>
      </c>
      <c r="D11" s="6"/>
      <c r="E11" s="8"/>
    </row>
    <row r="12" spans="1:7" x14ac:dyDescent="0.55000000000000004">
      <c r="A12" s="3">
        <v>11</v>
      </c>
      <c r="B12" s="5" t="s">
        <v>35</v>
      </c>
      <c r="C12" s="6" t="s">
        <v>112</v>
      </c>
      <c r="D12" s="6"/>
      <c r="E12" s="6"/>
    </row>
    <row r="13" spans="1:7" x14ac:dyDescent="0.55000000000000004">
      <c r="A13" s="3">
        <v>12</v>
      </c>
      <c r="B13" s="5" t="s">
        <v>38</v>
      </c>
      <c r="C13" s="6" t="s">
        <v>112</v>
      </c>
      <c r="D13" s="6"/>
      <c r="E13" s="8"/>
    </row>
    <row r="14" spans="1:7" x14ac:dyDescent="0.55000000000000004">
      <c r="A14" s="3">
        <v>13</v>
      </c>
      <c r="B14" s="5" t="s">
        <v>40</v>
      </c>
      <c r="C14" s="6" t="s">
        <v>112</v>
      </c>
      <c r="D14" s="6"/>
      <c r="E14" s="8"/>
    </row>
    <row r="15" spans="1:7" x14ac:dyDescent="0.55000000000000004">
      <c r="A15" s="3">
        <v>14</v>
      </c>
      <c r="B15" s="5" t="s">
        <v>43</v>
      </c>
      <c r="C15" s="6" t="s">
        <v>112</v>
      </c>
      <c r="D15" s="6"/>
      <c r="E15" s="8"/>
    </row>
    <row r="16" spans="1:7" x14ac:dyDescent="0.55000000000000004">
      <c r="A16" s="3">
        <v>15</v>
      </c>
      <c r="B16" s="5" t="s">
        <v>45</v>
      </c>
      <c r="C16" s="6" t="s">
        <v>112</v>
      </c>
      <c r="D16" s="6"/>
      <c r="E16" s="8"/>
    </row>
    <row r="17" spans="1:7" ht="28.8" x14ac:dyDescent="0.55000000000000004">
      <c r="A17" s="3">
        <v>16</v>
      </c>
      <c r="B17" s="5" t="s">
        <v>48</v>
      </c>
      <c r="C17" s="6" t="s">
        <v>112</v>
      </c>
      <c r="D17" s="6"/>
      <c r="E17" s="8"/>
    </row>
    <row r="18" spans="1:7" ht="28.8" x14ac:dyDescent="0.55000000000000004">
      <c r="A18" s="3">
        <v>17</v>
      </c>
      <c r="B18" s="5" t="s">
        <v>50</v>
      </c>
      <c r="C18" s="6" t="s">
        <v>112</v>
      </c>
      <c r="D18" s="6"/>
      <c r="E18" s="8"/>
    </row>
    <row r="19" spans="1:7" x14ac:dyDescent="0.55000000000000004">
      <c r="A19" s="3">
        <v>18</v>
      </c>
      <c r="B19" s="5" t="s">
        <v>53</v>
      </c>
      <c r="C19" s="6" t="s">
        <v>112</v>
      </c>
      <c r="D19" s="6"/>
      <c r="E19" s="8"/>
    </row>
    <row r="20" spans="1:7" x14ac:dyDescent="0.55000000000000004">
      <c r="A20" s="3">
        <v>19</v>
      </c>
      <c r="B20" s="5" t="s">
        <v>118</v>
      </c>
      <c r="C20" s="6" t="s">
        <v>112</v>
      </c>
      <c r="D20" s="6"/>
      <c r="E20" s="8"/>
    </row>
    <row r="21" spans="1:7" x14ac:dyDescent="0.55000000000000004">
      <c r="A21" s="11">
        <v>20</v>
      </c>
      <c r="B21" s="12" t="s">
        <v>119</v>
      </c>
      <c r="C21" s="9" t="s">
        <v>113</v>
      </c>
      <c r="D21" t="s">
        <v>128</v>
      </c>
      <c r="E21" t="s">
        <v>129</v>
      </c>
      <c r="F21" t="s">
        <v>130</v>
      </c>
      <c r="G21" s="10">
        <v>46204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Table with Risks and Measures</vt:lpstr>
      <vt:lpstr>Table with Risks_Projekt2</vt:lpstr>
      <vt:lpstr>Graphical Overview</vt:lpstr>
      <vt:lpstr>Graphical Overview (2)</vt:lpstr>
      <vt:lpstr>RiskEval</vt:lpstr>
      <vt:lpstr>RiskTreatment</vt:lpstr>
      <vt:lpstr>RiskWhatWhen</vt:lpstr>
      <vt:lpstr>CheckinOct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Roccaro</dc:creator>
  <cp:lastModifiedBy>Roccaro Roland Angelo</cp:lastModifiedBy>
  <dcterms:created xsi:type="dcterms:W3CDTF">2025-10-17T15:35:44Z</dcterms:created>
  <dcterms:modified xsi:type="dcterms:W3CDTF">2026-10-25T19:47:53Z</dcterms:modified>
</cp:coreProperties>
</file>